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rojects\cellcad-python\data\templates\"/>
    </mc:Choice>
  </mc:AlternateContent>
  <xr:revisionPtr revIDLastSave="0" documentId="13_ncr:1_{EC303454-3C27-4A27-AF46-19209DE7084B}" xr6:coauthVersionLast="47" xr6:coauthVersionMax="47" xr10:uidLastSave="{00000000-0000-0000-0000-000000000000}"/>
  <bookViews>
    <workbookView xWindow="-110" yWindow="-110" windowWidth="19420" windowHeight="10300" firstSheet="4" activeTab="9" xr2:uid="{00000000-000D-0000-FFFF-FFFF00000000}"/>
  </bookViews>
  <sheets>
    <sheet name="1_Cell_Envelope" sheetId="1" r:id="rId1"/>
    <sheet name="2_Stack_Config" sheetId="2" r:id="rId2"/>
    <sheet name="3_Cathode" sheetId="3" r:id="rId3"/>
    <sheet name="4_Anode" sheetId="4" r:id="rId4"/>
    <sheet name="5_Separator" sheetId="5" r:id="rId5"/>
    <sheet name="6_Electrolyte" sheetId="6" r:id="rId6"/>
    <sheet name="7_Terminals" sheetId="7" r:id="rId7"/>
    <sheet name="8_Tabs_Busbars" sheetId="8" r:id="rId8"/>
    <sheet name="9_Insulation" sheetId="9" r:id="rId9"/>
    <sheet name="10_Thermal_Props" sheetId="10" r:id="rId10"/>
    <sheet name="11_Mechanical_Props" sheetId="11" r:id="rId11"/>
    <sheet name="12_Electrical_Props" sheetId="12" r:id="rId12"/>
    <sheet name="13_Simulation_Zones" sheetId="13" r:id="rId13"/>
    <sheet name="14_Defaults_Summary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4" i="7" l="1"/>
  <c r="C24" i="1"/>
  <c r="C23" i="1"/>
  <c r="C22" i="1"/>
</calcChain>
</file>

<file path=xl/sharedStrings.xml><?xml version="1.0" encoding="utf-8"?>
<sst xmlns="http://schemas.openxmlformats.org/spreadsheetml/2006/main" count="2255" uniqueCount="1012">
  <si>
    <t>Parameter</t>
  </si>
  <si>
    <t>Symbol</t>
  </si>
  <si>
    <t>Value</t>
  </si>
  <si>
    <t>Unit</t>
  </si>
  <si>
    <t>Default</t>
  </si>
  <si>
    <t>Min</t>
  </si>
  <si>
    <t>Max</t>
  </si>
  <si>
    <t>Description</t>
  </si>
  <si>
    <t>Source/Notes</t>
  </si>
  <si>
    <t>EXTERNAL DIMENSIONS</t>
  </si>
  <si>
    <t>Cell Height</t>
  </si>
  <si>
    <t>H_cell</t>
  </si>
  <si>
    <t>mm</t>
  </si>
  <si>
    <t>External height (Y direction)</t>
  </si>
  <si>
    <t>V1 Prismatic</t>
  </si>
  <si>
    <t>Cell Width</t>
  </si>
  <si>
    <t>W_cell</t>
  </si>
  <si>
    <t>External width (X direction)</t>
  </si>
  <si>
    <t>Cell Thickness</t>
  </si>
  <si>
    <t>T_cell</t>
  </si>
  <si>
    <t>External thickness (Z direction)</t>
  </si>
  <si>
    <t>External Corner Radius</t>
  </si>
  <si>
    <t>R_ext</t>
  </si>
  <si>
    <t>Fillet radius on vertical edges</t>
  </si>
  <si>
    <t>Industry std</t>
  </si>
  <si>
    <t>WALL THICKNESSES</t>
  </si>
  <si>
    <t>Wall Top (Lid)</t>
  </si>
  <si>
    <t>t_top</t>
  </si>
  <si>
    <t>Lid thickness</t>
  </si>
  <si>
    <t>Wall Bottom</t>
  </si>
  <si>
    <t>t_bot</t>
  </si>
  <si>
    <t>Bottom wall thickness</t>
  </si>
  <si>
    <t>Wall Front (YZ)</t>
  </si>
  <si>
    <t>t_front</t>
  </si>
  <si>
    <t>Front face thickness</t>
  </si>
  <si>
    <t>Wall Back (YZ)</t>
  </si>
  <si>
    <t>t_back</t>
  </si>
  <si>
    <t>Back face thickness</t>
  </si>
  <si>
    <t>Wall Left (XZ)</t>
  </si>
  <si>
    <t>t_left</t>
  </si>
  <si>
    <t>Left face thickness</t>
  </si>
  <si>
    <t>Wall Right (XZ)</t>
  </si>
  <si>
    <t>t_right</t>
  </si>
  <si>
    <t>Right face thickness</t>
  </si>
  <si>
    <t>Internal Corner Radius</t>
  </si>
  <si>
    <t>R_int</t>
  </si>
  <si>
    <t>Fillet radius on internal corners</t>
  </si>
  <si>
    <t>CASE MATERIAL</t>
  </si>
  <si>
    <t>Case Material</t>
  </si>
  <si>
    <t>mat_case</t>
  </si>
  <si>
    <t>Aluminum 3003</t>
  </si>
  <si>
    <t>-</t>
  </si>
  <si>
    <t>Case body material</t>
  </si>
  <si>
    <t>Common choice</t>
  </si>
  <si>
    <t>Case Density</t>
  </si>
  <si>
    <t>rho_case</t>
  </si>
  <si>
    <t>kg/m³</t>
  </si>
  <si>
    <t>Case material density</t>
  </si>
  <si>
    <t>Al 3003</t>
  </si>
  <si>
    <t>DERIVED VALUES (Auto-calculated)</t>
  </si>
  <si>
    <t>Internal Height</t>
  </si>
  <si>
    <t>H_int</t>
  </si>
  <si>
    <t>H_cell - t_top - t_bot</t>
  </si>
  <si>
    <t>Calculated</t>
  </si>
  <si>
    <t>Internal Width</t>
  </si>
  <si>
    <t>W_int</t>
  </si>
  <si>
    <t>W_cell - t_left - t_right</t>
  </si>
  <si>
    <t>Internal Thickness</t>
  </si>
  <si>
    <t>T_int</t>
  </si>
  <si>
    <t>T_cell - t_front - t_back</t>
  </si>
  <si>
    <t>Cell Volume</t>
  </si>
  <si>
    <t>V_cell</t>
  </si>
  <si>
    <t>cm³</t>
  </si>
  <si>
    <t>H_cell × W_cell × T_cell / 1000</t>
  </si>
  <si>
    <t>STACK STRUCTURE</t>
  </si>
  <si>
    <t>Number of Stacks</t>
  </si>
  <si>
    <t>N_stacks</t>
  </si>
  <si>
    <t>Parallel stacks in cell</t>
  </si>
  <si>
    <t>Electrode Pairs per Stack</t>
  </si>
  <si>
    <t>N_pairs</t>
  </si>
  <si>
    <t>Cathode-anode pairs per stack</t>
  </si>
  <si>
    <t>End Electrode Configuration</t>
  </si>
  <si>
    <t>end_config</t>
  </si>
  <si>
    <t>BothNegative</t>
  </si>
  <si>
    <t>BothNegative/BothPositive/PositiveNegative</t>
  </si>
  <si>
    <t>SHEET COUNTS (Per Stack)</t>
  </si>
  <si>
    <t>Cathode Sheets per Stack</t>
  </si>
  <si>
    <t>n_cat</t>
  </si>
  <si>
    <t>Based on pairs and end config</t>
  </si>
  <si>
    <t>Anode Sheets per Stack</t>
  </si>
  <si>
    <t>n_ano</t>
  </si>
  <si>
    <t>Separator Sheets per Stack</t>
  </si>
  <si>
    <t>n_sep</t>
  </si>
  <si>
    <t>One between each electrode pair + ends</t>
  </si>
  <si>
    <t>SHEET COUNTS (Total Cell)</t>
  </si>
  <si>
    <t>Total Cathode Sheets</t>
  </si>
  <si>
    <t>N_cat</t>
  </si>
  <si>
    <t>n_cat × N_stacks</t>
  </si>
  <si>
    <t>Total Anode Sheets</t>
  </si>
  <si>
    <t>N_ano</t>
  </si>
  <si>
    <t>n_ano × N_stacks</t>
  </si>
  <si>
    <t>Total Separator Sheets</t>
  </si>
  <si>
    <t>N_sep</t>
  </si>
  <si>
    <t>n_sep × N_stacks</t>
  </si>
  <si>
    <t>Total Electrode Sheets</t>
  </si>
  <si>
    <t>N_elec</t>
  </si>
  <si>
    <t>N_cat + N_ano</t>
  </si>
  <si>
    <t>STACK DIMENSIONS</t>
  </si>
  <si>
    <t>Stack Height</t>
  </si>
  <si>
    <t>H_stack</t>
  </si>
  <si>
    <t>Height of electrode stack</t>
  </si>
  <si>
    <t>Stack Width</t>
  </si>
  <si>
    <t>W_stack</t>
  </si>
  <si>
    <t>Width of electrode stack</t>
  </si>
  <si>
    <t>Stack Thickness (Dry)</t>
  </si>
  <si>
    <t>T_stack_dry</t>
  </si>
  <si>
    <t>Dry stack thickness</t>
  </si>
  <si>
    <t>Stack Thickness (SoC 0%)</t>
  </si>
  <si>
    <t>T_stack_0</t>
  </si>
  <si>
    <t>After formation</t>
  </si>
  <si>
    <t>Stack Thickness (SoC 100%)</t>
  </si>
  <si>
    <t>T_stack_100</t>
  </si>
  <si>
    <t>Fully charged</t>
  </si>
  <si>
    <t>COMPRESSION / GAP ANALYSIS</t>
  </si>
  <si>
    <t>Gap to Wall (Dry)</t>
  </si>
  <si>
    <t>gap_dry</t>
  </si>
  <si>
    <t>T_int - T_stack_dry</t>
  </si>
  <si>
    <t>Gap to Wall (SoC 100%)</t>
  </si>
  <si>
    <t>gap_100</t>
  </si>
  <si>
    <t>Negative = compression</t>
  </si>
  <si>
    <t>Separator Compression (SoC 100%)</t>
  </si>
  <si>
    <t>comp_sep</t>
  </si>
  <si>
    <t>%</t>
  </si>
  <si>
    <t>Compression of separator at full charge</t>
  </si>
  <si>
    <t>MATERIAL IDENTITY</t>
  </si>
  <si>
    <t>Cathode Material Name</t>
  </si>
  <si>
    <t>mat_cat</t>
  </si>
  <si>
    <t>NCM (Ni-90.5)</t>
  </si>
  <si>
    <t>Active material name</t>
  </si>
  <si>
    <t>Cathode Chemistry</t>
  </si>
  <si>
    <t>chem_cat</t>
  </si>
  <si>
    <t>NMC</t>
  </si>
  <si>
    <t>LFP/NMC/NCA/LCO</t>
  </si>
  <si>
    <t>Supplier/Grade</t>
  </si>
  <si>
    <t>supplier_cat</t>
  </si>
  <si>
    <t>XTC - M901A</t>
  </si>
  <si>
    <t>Material supplier and grade</t>
  </si>
  <si>
    <t>SHEET GEOMETRY</t>
  </si>
  <si>
    <t>Cathode Sheet Height</t>
  </si>
  <si>
    <t>H_cat</t>
  </si>
  <si>
    <t>Active coating height</t>
  </si>
  <si>
    <t>Cathode Sheet Width</t>
  </si>
  <si>
    <t>W_cat</t>
  </si>
  <si>
    <t>Active coating width</t>
  </si>
  <si>
    <t>Cathode Sheet Area</t>
  </si>
  <si>
    <t>A_cat</t>
  </si>
  <si>
    <t>cm²</t>
  </si>
  <si>
    <t>H_cat × W_cat / 100</t>
  </si>
  <si>
    <t>COATING PROPERTIES</t>
  </si>
  <si>
    <t>Loading (Single Side)</t>
  </si>
  <si>
    <t>load_cat</t>
  </si>
  <si>
    <t>mg/cm²</t>
  </si>
  <si>
    <t>Areal mass loading per side</t>
  </si>
  <si>
    <t>Coating Thickness (Dry)</t>
  </si>
  <si>
    <t>t_coat_cat_dry</t>
  </si>
  <si>
    <t>µm</t>
  </si>
  <si>
    <t>Single side, dried</t>
  </si>
  <si>
    <t>Coating Thickness (SoC 0%)</t>
  </si>
  <si>
    <t>t_coat_cat_0</t>
  </si>
  <si>
    <t>Coating Thickness (SoC 100%)</t>
  </si>
  <si>
    <t>t_coat_cat_100</t>
  </si>
  <si>
    <t>Coating Porosity (Dry)</t>
  </si>
  <si>
    <t>por_cat_dry</t>
  </si>
  <si>
    <t>Porosity after calendering</t>
  </si>
  <si>
    <t>Coating Porosity (SoC 0%)</t>
  </si>
  <si>
    <t>por_cat_0</t>
  </si>
  <si>
    <t>Coating Density (SoC 0%)</t>
  </si>
  <si>
    <t>rho_coat_cat_0</t>
  </si>
  <si>
    <t>Effective coating density</t>
  </si>
  <si>
    <t>Coating Density (SoC 100%)</t>
  </si>
  <si>
    <t>rho_coat_cat_100</t>
  </si>
  <si>
    <t>CURRENT COLLECTOR</t>
  </si>
  <si>
    <t>Collector Material</t>
  </si>
  <si>
    <t>mat_cc_cat</t>
  </si>
  <si>
    <t>Aluminum</t>
  </si>
  <si>
    <t>Collector foil material</t>
  </si>
  <si>
    <t>Standard</t>
  </si>
  <si>
    <t>Collector Thickness</t>
  </si>
  <si>
    <t>t_cc_cat</t>
  </si>
  <si>
    <t>Foil thickness</t>
  </si>
  <si>
    <t>Collector Height</t>
  </si>
  <si>
    <t>H_cc_cat</t>
  </si>
  <si>
    <t>Usually &gt; H_cat for tab area</t>
  </si>
  <si>
    <t>Estimated</t>
  </si>
  <si>
    <t>Collector Width</t>
  </si>
  <si>
    <t>W_cc_cat</t>
  </si>
  <si>
    <t>Usually &gt; W_cat for tab area</t>
  </si>
  <si>
    <t>ELECTROCHEMICAL PROPERTIES</t>
  </si>
  <si>
    <t>Reversible Specific Capacity</t>
  </si>
  <si>
    <t>Q_cat_rev</t>
  </si>
  <si>
    <t>mAh/g</t>
  </si>
  <si>
    <t>Practical capacity</t>
  </si>
  <si>
    <t>Maximum Specific Capacity</t>
  </si>
  <si>
    <t>Q_cat_max</t>
  </si>
  <si>
    <t>Theoretical maximum</t>
  </si>
  <si>
    <t>Literature</t>
  </si>
  <si>
    <t>Nominal Voltage vs Li</t>
  </si>
  <si>
    <t>V_cat</t>
  </si>
  <si>
    <t>V</t>
  </si>
  <si>
    <t>Average voltage</t>
  </si>
  <si>
    <t>FORMULATION (Weight %)</t>
  </si>
  <si>
    <t>Active Material Content</t>
  </si>
  <si>
    <t>w_am_cat</t>
  </si>
  <si>
    <t>wt%</t>
  </si>
  <si>
    <t>NMC content</t>
  </si>
  <si>
    <t>Binder Content (PVDF)</t>
  </si>
  <si>
    <t>w_binder_cat</t>
  </si>
  <si>
    <t>PVDF binder</t>
  </si>
  <si>
    <t>Conductive Additive Content</t>
  </si>
  <si>
    <t>w_cond_cat</t>
  </si>
  <si>
    <t>Carbon black etc.</t>
  </si>
  <si>
    <t>SWELLING PARAMETERS</t>
  </si>
  <si>
    <t>Formation Swelling</t>
  </si>
  <si>
    <t>swell_form_cat</t>
  </si>
  <si>
    <t>Dry to SoC 0%</t>
  </si>
  <si>
    <t>SoC Swelling</t>
  </si>
  <si>
    <t>swell_soc_cat</t>
  </si>
  <si>
    <t>SoC 0% to SoC 100%</t>
  </si>
  <si>
    <t>Anode Material Name</t>
  </si>
  <si>
    <t>mat_ano</t>
  </si>
  <si>
    <t>Graphite/SiOx Blend</t>
  </si>
  <si>
    <t>Anode Chemistry</t>
  </si>
  <si>
    <t>chem_ano</t>
  </si>
  <si>
    <t>Graphite-SiOx</t>
  </si>
  <si>
    <t>Graphite/Silicon/LTO</t>
  </si>
  <si>
    <t>Silicon Content</t>
  </si>
  <si>
    <t>Si_content</t>
  </si>
  <si>
    <t>Li-SiOx percentage</t>
  </si>
  <si>
    <t>Anode Sheet Height</t>
  </si>
  <si>
    <t>H_ano</t>
  </si>
  <si>
    <t>Anode Sheet Width</t>
  </si>
  <si>
    <t>W_ano</t>
  </si>
  <si>
    <t>Anode Sheet Area</t>
  </si>
  <si>
    <t>A_ano</t>
  </si>
  <si>
    <t>H_ano × W_ano / 100</t>
  </si>
  <si>
    <t>Anode Overhang (each side)</t>
  </si>
  <si>
    <t>overhang_ano</t>
  </si>
  <si>
    <t>Overhang vs cathode</t>
  </si>
  <si>
    <t>load_ano</t>
  </si>
  <si>
    <t>t_coat_ano_dry</t>
  </si>
  <si>
    <t>t_coat_ano_0</t>
  </si>
  <si>
    <t>t_coat_ano_100</t>
  </si>
  <si>
    <t>por_ano_dry</t>
  </si>
  <si>
    <t>por_ano_0</t>
  </si>
  <si>
    <t>rho_coat_ano_0</t>
  </si>
  <si>
    <t>rho_coat_ano_100</t>
  </si>
  <si>
    <t>mat_cc_ano</t>
  </si>
  <si>
    <t>Copper</t>
  </si>
  <si>
    <t>t_cc_ano</t>
  </si>
  <si>
    <t>H_cc_ano</t>
  </si>
  <si>
    <t>Usually &gt; H_ano for tab area</t>
  </si>
  <si>
    <t>W_cc_ano</t>
  </si>
  <si>
    <t>Usually &gt; W_ano for tab area</t>
  </si>
  <si>
    <t>Q_ano_rev</t>
  </si>
  <si>
    <t>Q_ano_max</t>
  </si>
  <si>
    <t>N/P Ratio</t>
  </si>
  <si>
    <t>NP_ratio</t>
  </si>
  <si>
    <t>Anode/Cathode capacity ratio</t>
  </si>
  <si>
    <t>Anode Utilization</t>
  </si>
  <si>
    <t>util_ano</t>
  </si>
  <si>
    <t>Fraction of capacity used</t>
  </si>
  <si>
    <t>Graphite (Artificial)</t>
  </si>
  <si>
    <t>w_gr_art</t>
  </si>
  <si>
    <t>Artificial graphite</t>
  </si>
  <si>
    <t>Graphite (Natural)</t>
  </si>
  <si>
    <t>w_gr_nat</t>
  </si>
  <si>
    <t>Natural graphite</t>
  </si>
  <si>
    <t>Li-SiOx</t>
  </si>
  <si>
    <t>w_siox</t>
  </si>
  <si>
    <t>Silicon oxide</t>
  </si>
  <si>
    <t>Binder (SBR)</t>
  </si>
  <si>
    <t>w_sbr</t>
  </si>
  <si>
    <t>SBR binder</t>
  </si>
  <si>
    <t>Binder (CMC)</t>
  </si>
  <si>
    <t>w_cmc</t>
  </si>
  <si>
    <t>CMC thickener</t>
  </si>
  <si>
    <t>Conductive (CNT)</t>
  </si>
  <si>
    <t>w_cnt</t>
  </si>
  <si>
    <t>Carbon nanotubes</t>
  </si>
  <si>
    <t>swell_form_ano</t>
  </si>
  <si>
    <t>swell_soc_ano</t>
  </si>
  <si>
    <t>Separator Name</t>
  </si>
  <si>
    <t>mat_sep</t>
  </si>
  <si>
    <t>PP/Ceramic Coated</t>
  </si>
  <si>
    <t>Separator product name</t>
  </si>
  <si>
    <t>Base Material</t>
  </si>
  <si>
    <t>base_sep</t>
  </si>
  <si>
    <t>Polypropylene (PP)</t>
  </si>
  <si>
    <t>PP/PE/Ceramic</t>
  </si>
  <si>
    <t>Coating Material</t>
  </si>
  <si>
    <t>coat_sep</t>
  </si>
  <si>
    <t>Aluminium Oxide</t>
  </si>
  <si>
    <t>Ceramic coating</t>
  </si>
  <si>
    <t>GEOMETRY</t>
  </si>
  <si>
    <t>Separator Height</t>
  </si>
  <si>
    <t>H_sep</t>
  </si>
  <si>
    <t>Usually = stack height</t>
  </si>
  <si>
    <t>Separator Width</t>
  </si>
  <si>
    <t>W_sep</t>
  </si>
  <si>
    <t>Usually = stack width</t>
  </si>
  <si>
    <t>Separator Area</t>
  </si>
  <si>
    <t>A_sep</t>
  </si>
  <si>
    <t>H_sep × W_sep / 100</t>
  </si>
  <si>
    <t>Separator Overhang vs Anode</t>
  </si>
  <si>
    <t>overhang_sep</t>
  </si>
  <si>
    <t>Overhang on each side</t>
  </si>
  <si>
    <t>LAYER STRUCTURE</t>
  </si>
  <si>
    <t>Total Thickness</t>
  </si>
  <si>
    <t>t_sep</t>
  </si>
  <si>
    <t>Total separator thickness</t>
  </si>
  <si>
    <t>Base Layer Thickness</t>
  </si>
  <si>
    <t>t_sep_base</t>
  </si>
  <si>
    <t>PP base layer</t>
  </si>
  <si>
    <t>Coating Thickness</t>
  </si>
  <si>
    <t>t_sep_coat</t>
  </si>
  <si>
    <t>Base Porosity</t>
  </si>
  <si>
    <t>por_sep_base</t>
  </si>
  <si>
    <t>PP base porosity</t>
  </si>
  <si>
    <t>Coating Porosity</t>
  </si>
  <si>
    <t>por_sep_coat</t>
  </si>
  <si>
    <t>Ceramic coating porosity</t>
  </si>
  <si>
    <t>Effective Porosity</t>
  </si>
  <si>
    <t>por_sep_eff</t>
  </si>
  <si>
    <t>Weighted average</t>
  </si>
  <si>
    <t>PHYSICAL PROPERTIES</t>
  </si>
  <si>
    <t>Areal Weight</t>
  </si>
  <si>
    <t>aw_sep</t>
  </si>
  <si>
    <t>Mass per unit area</t>
  </si>
  <si>
    <t>Effective Density</t>
  </si>
  <si>
    <t>rho_sep_eff</t>
  </si>
  <si>
    <t>Accounting for porosity</t>
  </si>
  <si>
    <t>Bulk Density (PP)</t>
  </si>
  <si>
    <t>rho_pp</t>
  </si>
  <si>
    <t>Pure PP density</t>
  </si>
  <si>
    <t>Bulk Density (Al2O3)</t>
  </si>
  <si>
    <t>rho_al2o3</t>
  </si>
  <si>
    <t>Pure alumina density</t>
  </si>
  <si>
    <t>MECHANICAL PROPERTIES</t>
  </si>
  <si>
    <t>Gurley Number</t>
  </si>
  <si>
    <t>gurley_sep</t>
  </si>
  <si>
    <t>s/100mL</t>
  </si>
  <si>
    <t>Air permeability</t>
  </si>
  <si>
    <t>Typical</t>
  </si>
  <si>
    <t>Puncture Strength</t>
  </si>
  <si>
    <t>punct_sep</t>
  </si>
  <si>
    <t>gf</t>
  </si>
  <si>
    <t>Mechanical strength</t>
  </si>
  <si>
    <t>Shrinkage (MD) at 130°C</t>
  </si>
  <si>
    <t>shrink_md</t>
  </si>
  <si>
    <t>Machine direction shrinkage</t>
  </si>
  <si>
    <t>Shrinkage (TD) at 130°C</t>
  </si>
  <si>
    <t>shrink_td</t>
  </si>
  <si>
    <t>Transverse direction shrinkage</t>
  </si>
  <si>
    <t>ELECTROLYTE COMPOSITION</t>
  </si>
  <si>
    <t>Salt</t>
  </si>
  <si>
    <t>salt_elec</t>
  </si>
  <si>
    <t>LiPF6</t>
  </si>
  <si>
    <t>Lithium salt</t>
  </si>
  <si>
    <t>Salt Concentration</t>
  </si>
  <si>
    <t>conc_salt</t>
  </si>
  <si>
    <t>M</t>
  </si>
  <si>
    <t>Molar concentration</t>
  </si>
  <si>
    <t>Solvent 1</t>
  </si>
  <si>
    <t>solv1</t>
  </si>
  <si>
    <t>EC</t>
  </si>
  <si>
    <t>Ethylene carbonate</t>
  </si>
  <si>
    <t>Solvent 1 Fraction</t>
  </si>
  <si>
    <t>frac_solv1</t>
  </si>
  <si>
    <t>vol%</t>
  </si>
  <si>
    <t>EC volume fraction</t>
  </si>
  <si>
    <t>Solvent 2</t>
  </si>
  <si>
    <t>solv2</t>
  </si>
  <si>
    <t>DEC</t>
  </si>
  <si>
    <t>Diethyl carbonate</t>
  </si>
  <si>
    <t>Solvent 2 Fraction</t>
  </si>
  <si>
    <t>frac_solv2</t>
  </si>
  <si>
    <t>DEC volume fraction</t>
  </si>
  <si>
    <t>Solvent 3</t>
  </si>
  <si>
    <t>solv3</t>
  </si>
  <si>
    <t>EMC</t>
  </si>
  <si>
    <t>Ethyl methyl carbonate</t>
  </si>
  <si>
    <t>Solvent 3 Fraction</t>
  </si>
  <si>
    <t>frac_solv3</t>
  </si>
  <si>
    <t>EMC volume fraction</t>
  </si>
  <si>
    <t>Solvent 4</t>
  </si>
  <si>
    <t>solv4</t>
  </si>
  <si>
    <t>FEC</t>
  </si>
  <si>
    <t>Fluoroethylene carbonate</t>
  </si>
  <si>
    <t>Solvent 4 Fraction</t>
  </si>
  <si>
    <t>frac_solv4</t>
  </si>
  <si>
    <t>FEC volume fraction</t>
  </si>
  <si>
    <t>ADDITIVES</t>
  </si>
  <si>
    <t>Additive 1</t>
  </si>
  <si>
    <t>add1</t>
  </si>
  <si>
    <t>VC</t>
  </si>
  <si>
    <t>Vinylene carbonate</t>
  </si>
  <si>
    <t>Additive 1 Content</t>
  </si>
  <si>
    <t>add1_pct</t>
  </si>
  <si>
    <t>VC content</t>
  </si>
  <si>
    <t>Additive 2</t>
  </si>
  <si>
    <t>add2</t>
  </si>
  <si>
    <t>LiDFOB</t>
  </si>
  <si>
    <t>Lithium difluoro(oxalato)borate</t>
  </si>
  <si>
    <t>Additive 2 Content</t>
  </si>
  <si>
    <t>add2_pct</t>
  </si>
  <si>
    <t>LiDFOB content</t>
  </si>
  <si>
    <t>Total Additives</t>
  </si>
  <si>
    <t>add_total</t>
  </si>
  <si>
    <t>Sum of additives</t>
  </si>
  <si>
    <t>Density</t>
  </si>
  <si>
    <t>rho_elec</t>
  </si>
  <si>
    <t>Electrolyte density at 25°C</t>
  </si>
  <si>
    <t>Viscosity</t>
  </si>
  <si>
    <t>visc_elec</t>
  </si>
  <si>
    <t>mPa·s</t>
  </si>
  <si>
    <t>Dynamic viscosity at 25°C</t>
  </si>
  <si>
    <t>Ionic Conductivity</t>
  </si>
  <si>
    <t>sigma_elec</t>
  </si>
  <si>
    <t>mS/cm</t>
  </si>
  <si>
    <t>At 25°C</t>
  </si>
  <si>
    <t>VOLUME IN CELL</t>
  </si>
  <si>
    <t>Pore Volume (Cathode)</t>
  </si>
  <si>
    <t>V_pore_cat</t>
  </si>
  <si>
    <t>Electrolyte in cathode pores</t>
  </si>
  <si>
    <t>Pore Volume (Anode)</t>
  </si>
  <si>
    <t>V_pore_ano</t>
  </si>
  <si>
    <t>Electrolyte in anode pores</t>
  </si>
  <si>
    <t>Pore Volume (Separator)</t>
  </si>
  <si>
    <t>V_pore_sep</t>
  </si>
  <si>
    <t>Electrolyte in separator pores</t>
  </si>
  <si>
    <t>Total Pore Volume</t>
  </si>
  <si>
    <t>V_pore_total</t>
  </si>
  <si>
    <t>Sum of all pore volumes</t>
  </si>
  <si>
    <t>Excess Factor</t>
  </si>
  <si>
    <t>excess_elec</t>
  </si>
  <si>
    <t>Electrolyte excess for wetting</t>
  </si>
  <si>
    <t>Total Electrolyte Volume</t>
  </si>
  <si>
    <t>V_elec</t>
  </si>
  <si>
    <t>Pore volume × excess factor</t>
  </si>
  <si>
    <t>Total Electrolyte Mass</t>
  </si>
  <si>
    <t>m_elec</t>
  </si>
  <si>
    <t>g</t>
  </si>
  <si>
    <t>V_elec × rho_elec / 1000</t>
  </si>
  <si>
    <t>POSITIVE TERMINAL</t>
  </si>
  <si>
    <t>Material</t>
  </si>
  <si>
    <t>mat_term_pos</t>
  </si>
  <si>
    <t>Terminal material</t>
  </si>
  <si>
    <t>Type</t>
  </si>
  <si>
    <t>type_term_pos</t>
  </si>
  <si>
    <t>Cylindrical Post</t>
  </si>
  <si>
    <t>Post/Flat/Bolt</t>
  </si>
  <si>
    <t>Diameter</t>
  </si>
  <si>
    <t>d_term_pos</t>
  </si>
  <si>
    <t>Terminal outer diameter</t>
  </si>
  <si>
    <t>Height (above lid)</t>
  </si>
  <si>
    <t>h_term_pos</t>
  </si>
  <si>
    <t>Height above cell surface</t>
  </si>
  <si>
    <t>X Position</t>
  </si>
  <si>
    <t>x_term_pos</t>
  </si>
  <si>
    <t>From left edge (30% default)</t>
  </si>
  <si>
    <t>Z Position</t>
  </si>
  <si>
    <t>z_term_pos</t>
  </si>
  <si>
    <t>From front edge (centered)</t>
  </si>
  <si>
    <t>Bolt Hole Diameter</t>
  </si>
  <si>
    <t>d_bolt_pos</t>
  </si>
  <si>
    <t>M8 thread</t>
  </si>
  <si>
    <t>Bolt Hole Depth</t>
  </si>
  <si>
    <t>depth_bolt_pos</t>
  </si>
  <si>
    <t>Thread depth</t>
  </si>
  <si>
    <t>Mass</t>
  </si>
  <si>
    <t>m_term_pos</t>
  </si>
  <si>
    <t>Terminal mass</t>
  </si>
  <si>
    <t>NEGATIVE TERMINAL</t>
  </si>
  <si>
    <t>mat_term_neg</t>
  </si>
  <si>
    <t>type_term_neg</t>
  </si>
  <si>
    <t>d_term_neg</t>
  </si>
  <si>
    <t>h_term_neg</t>
  </si>
  <si>
    <t>x_term_neg</t>
  </si>
  <si>
    <t>From left edge (70% default)</t>
  </si>
  <si>
    <t>z_term_neg</t>
  </si>
  <si>
    <t>d_bolt_neg</t>
  </si>
  <si>
    <t>depth_bolt_neg</t>
  </si>
  <si>
    <t>m_term_neg</t>
  </si>
  <si>
    <t>SAFETY VENT</t>
  </si>
  <si>
    <t>Vent Type</t>
  </si>
  <si>
    <t>type_vent</t>
  </si>
  <si>
    <t>Burst Disc</t>
  </si>
  <si>
    <t>Disc/Valve/Score line</t>
  </si>
  <si>
    <t>Vent Diameter</t>
  </si>
  <si>
    <t>d_vent</t>
  </si>
  <si>
    <t>Vent opening diameter</t>
  </si>
  <si>
    <t>x_vent</t>
  </si>
  <si>
    <t>Centered between terminals</t>
  </si>
  <si>
    <t>z_vent</t>
  </si>
  <si>
    <t>Burst Pressure</t>
  </si>
  <si>
    <t>p_burst</t>
  </si>
  <si>
    <t>MPa</t>
  </si>
  <si>
    <t>Opening pressure</t>
  </si>
  <si>
    <t>TERMINAL INSULATION</t>
  </si>
  <si>
    <t>Insulation Material</t>
  </si>
  <si>
    <t>mat_ins_term</t>
  </si>
  <si>
    <t>PEEK</t>
  </si>
  <si>
    <t>Insulating ring material</t>
  </si>
  <si>
    <t>Common</t>
  </si>
  <si>
    <t>Insulation Outer Diameter</t>
  </si>
  <si>
    <t>d_ins_out</t>
  </si>
  <si>
    <t>Outer diameter of insulation</t>
  </si>
  <si>
    <t>Insulation Inner Diameter</t>
  </si>
  <si>
    <t>d_ins_in</t>
  </si>
  <si>
    <t>Insulation Thickness</t>
  </si>
  <si>
    <t>t_ins_term</t>
  </si>
  <si>
    <t>Radial thickness</t>
  </si>
  <si>
    <t>Insulation Height</t>
  </si>
  <si>
    <t>h_ins_term</t>
  </si>
  <si>
    <t>Vertical height</t>
  </si>
  <si>
    <t>CATHODE TABS (Aluminum)</t>
  </si>
  <si>
    <t>Number of Tabs per Stack</t>
  </si>
  <si>
    <t>n_tab_cat</t>
  </si>
  <si>
    <t>Tabs per electrode stack</t>
  </si>
  <si>
    <t>Total Cathode Tabs</t>
  </si>
  <si>
    <t>N_tab_cat</t>
  </si>
  <si>
    <t>n_tab_cat × N_stacks</t>
  </si>
  <si>
    <t>Tab Width</t>
  </si>
  <si>
    <t>w_tab_cat</t>
  </si>
  <si>
    <t>Width of tab strip</t>
  </si>
  <si>
    <t>Tab Length</t>
  </si>
  <si>
    <t>l_tab_cat</t>
  </si>
  <si>
    <t>Length from collector to terminal</t>
  </si>
  <si>
    <t>Tab Thickness</t>
  </si>
  <si>
    <t>t_tab_cat</t>
  </si>
  <si>
    <t>Tab foil thickness</t>
  </si>
  <si>
    <t>Tab Material</t>
  </si>
  <si>
    <t>mat_tab_cat</t>
  </si>
  <si>
    <t>Aluminum 1050</t>
  </si>
  <si>
    <t>Pure aluminum</t>
  </si>
  <si>
    <t>Tab Position on Collector (X)</t>
  </si>
  <si>
    <t>x_tab_cat</t>
  </si>
  <si>
    <t>From left edge of collector</t>
  </si>
  <si>
    <t>Tab Position on Collector (Y)</t>
  </si>
  <si>
    <t>y_tab_cat</t>
  </si>
  <si>
    <t>Top edge of collector</t>
  </si>
  <si>
    <t>Weld Area Width</t>
  </si>
  <si>
    <t>w_weld_cat</t>
  </si>
  <si>
    <t>Ultrasonic weld width</t>
  </si>
  <si>
    <t>Weld Area Height</t>
  </si>
  <si>
    <t>h_weld_cat</t>
  </si>
  <si>
    <t>Ultrasonic weld height</t>
  </si>
  <si>
    <t>ANODE TABS (Copper)</t>
  </si>
  <si>
    <t>n_tab_ano</t>
  </si>
  <si>
    <t>Total Anode Tabs</t>
  </si>
  <si>
    <t>N_tab_ano</t>
  </si>
  <si>
    <t>n_tab_ano × N_stacks</t>
  </si>
  <si>
    <t>w_tab_ano</t>
  </si>
  <si>
    <t>l_tab_ano</t>
  </si>
  <si>
    <t>t_tab_ano</t>
  </si>
  <si>
    <t>mat_tab_ano</t>
  </si>
  <si>
    <t>Copper C11000</t>
  </si>
  <si>
    <t>ETP copper</t>
  </si>
  <si>
    <t>x_tab_ano</t>
  </si>
  <si>
    <t>y_tab_ano</t>
  </si>
  <si>
    <t>w_weld_ano</t>
  </si>
  <si>
    <t>h_weld_ano</t>
  </si>
  <si>
    <t>CATHODE BUSBAR (Internal)</t>
  </si>
  <si>
    <t>Busbar Type</t>
  </si>
  <si>
    <t>type_bb_cat</t>
  </si>
  <si>
    <t>Welded Plate</t>
  </si>
  <si>
    <t>Plate/Flexible/Solid</t>
  </si>
  <si>
    <t>Busbar Width</t>
  </si>
  <si>
    <t>w_bb_cat</t>
  </si>
  <si>
    <t>Width of busbar</t>
  </si>
  <si>
    <t>Busbar Length</t>
  </si>
  <si>
    <t>l_bb_cat</t>
  </si>
  <si>
    <t>Length (stack top to terminal)</t>
  </si>
  <si>
    <t>Busbar Thickness</t>
  </si>
  <si>
    <t>t_bb_cat</t>
  </si>
  <si>
    <t>Busbar thickness</t>
  </si>
  <si>
    <t>Busbar Material</t>
  </si>
  <si>
    <t>mat_bb_cat</t>
  </si>
  <si>
    <t>Same as tab</t>
  </si>
  <si>
    <t>ANODE BUSBAR (Internal)</t>
  </si>
  <si>
    <t>type_bb_ano</t>
  </si>
  <si>
    <t>w_bb_ano</t>
  </si>
  <si>
    <t>l_bb_ano</t>
  </si>
  <si>
    <t>t_bb_ano</t>
  </si>
  <si>
    <t>mat_bb_ano</t>
  </si>
  <si>
    <t>INSULATION SHELL (Around Stack)</t>
  </si>
  <si>
    <t>mat_shell</t>
  </si>
  <si>
    <t>Shell material</t>
  </si>
  <si>
    <t>Thickness</t>
  </si>
  <si>
    <t>t_shell</t>
  </si>
  <si>
    <t>Shell wall thickness</t>
  </si>
  <si>
    <t>Coverage</t>
  </si>
  <si>
    <t>cover_shell</t>
  </si>
  <si>
    <t>All sides</t>
  </si>
  <si>
    <t>Top/Bottom/Sides/All</t>
  </si>
  <si>
    <t>Shell Height</t>
  </si>
  <si>
    <t>H_shell</t>
  </si>
  <si>
    <t>Slightly larger than stack</t>
  </si>
  <si>
    <t>Shell Width</t>
  </si>
  <si>
    <t>W_shell</t>
  </si>
  <si>
    <t>Number of Shells</t>
  </si>
  <si>
    <t>n_shell</t>
  </si>
  <si>
    <t>One per stack</t>
  </si>
  <si>
    <t>Shell Mass (each)</t>
  </si>
  <si>
    <t>m_shell</t>
  </si>
  <si>
    <t>Per shell</t>
  </si>
  <si>
    <t>EXTERNAL INSULATION COATING</t>
  </si>
  <si>
    <t>mat_coat_ext</t>
  </si>
  <si>
    <t>Coating material</t>
  </si>
  <si>
    <t>t_coat_ext</t>
  </si>
  <si>
    <t>Coating thickness</t>
  </si>
  <si>
    <t>cover_coat_ext</t>
  </si>
  <si>
    <t>All external surfaces</t>
  </si>
  <si>
    <t>All external</t>
  </si>
  <si>
    <t>Which surfaces coated</t>
  </si>
  <si>
    <t>Coating Mass</t>
  </si>
  <si>
    <t>m_coat_ext</t>
  </si>
  <si>
    <t>Total coating mass</t>
  </si>
  <si>
    <t>FIXING TAPE</t>
  </si>
  <si>
    <t>mat_tape</t>
  </si>
  <si>
    <t>Kapton</t>
  </si>
  <si>
    <t>Tape material</t>
  </si>
  <si>
    <t>Tape Width</t>
  </si>
  <si>
    <t>w_tape</t>
  </si>
  <si>
    <t>Tape strip width</t>
  </si>
  <si>
    <t>Tape Thickness</t>
  </si>
  <si>
    <t>t_tape</t>
  </si>
  <si>
    <t>Tape thickness</t>
  </si>
  <si>
    <t>Number of Tapes</t>
  </si>
  <si>
    <t>n_tape</t>
  </si>
  <si>
    <t>Tape strips per cell</t>
  </si>
  <si>
    <t>Tape Length (each)</t>
  </si>
  <si>
    <t>l_tape</t>
  </si>
  <si>
    <t>Length per strip</t>
  </si>
  <si>
    <t>Total Tape Mass</t>
  </si>
  <si>
    <t>m_tape</t>
  </si>
  <si>
    <t>All tapes combined</t>
  </si>
  <si>
    <t>INTERNAL INSULATIONS</t>
  </si>
  <si>
    <t>Inter-Stack Insulation</t>
  </si>
  <si>
    <t>ins_inter_stack</t>
  </si>
  <si>
    <t>Yes</t>
  </si>
  <si>
    <t>Insulation between stacks</t>
  </si>
  <si>
    <t>Inter-Stack Material</t>
  </si>
  <si>
    <t>mat_inter_stack</t>
  </si>
  <si>
    <t>PP</t>
  </si>
  <si>
    <t>Material between stacks</t>
  </si>
  <si>
    <t>Inter-Stack Thickness</t>
  </si>
  <si>
    <t>t_inter_stack</t>
  </si>
  <si>
    <t>Thickness between stacks</t>
  </si>
  <si>
    <t>Terminal Area Insulation Mass</t>
  </si>
  <si>
    <t>m_ins_term_area</t>
  </si>
  <si>
    <t>Insulation at terminal feedthrough</t>
  </si>
  <si>
    <t>CATHODE COATING (NMC)</t>
  </si>
  <si>
    <t>Thermal Conductivity (In-plane)</t>
  </si>
  <si>
    <t>k_cat_ip</t>
  </si>
  <si>
    <t>W/(m·K)</t>
  </si>
  <si>
    <t>kx = ky (parallel to coating)</t>
  </si>
  <si>
    <t>Thermal Conductivity (Through-plane)</t>
  </si>
  <si>
    <t>k_cat_tp</t>
  </si>
  <si>
    <t>kz (perpendicular to coating)</t>
  </si>
  <si>
    <t>Specific Heat Capacity</t>
  </si>
  <si>
    <t>cp_cat</t>
  </si>
  <si>
    <t>J/(kg·K)</t>
  </si>
  <si>
    <t>ANODE COATING (Graphite-SiOx)</t>
  </si>
  <si>
    <t>k_ano_ip</t>
  </si>
  <si>
    <t>k_ano_tp</t>
  </si>
  <si>
    <t>cp_ano</t>
  </si>
  <si>
    <t>SEPARATOR (PP/Ceramic)</t>
  </si>
  <si>
    <t>k_sep_ip</t>
  </si>
  <si>
    <t>kx = ky</t>
  </si>
  <si>
    <t>k_sep_tp</t>
  </si>
  <si>
    <t>kz</t>
  </si>
  <si>
    <t>cp_sep</t>
  </si>
  <si>
    <t>PP based</t>
  </si>
  <si>
    <t>ELECTROLYTE</t>
  </si>
  <si>
    <t>Thermal Conductivity</t>
  </si>
  <si>
    <t>k_elec</t>
  </si>
  <si>
    <t>Isotropic</t>
  </si>
  <si>
    <t>cp_elec</t>
  </si>
  <si>
    <t>ALUMINUM (Case, Cathode Collector)</t>
  </si>
  <si>
    <t>k_al</t>
  </si>
  <si>
    <t>Al 3003/1050</t>
  </si>
  <si>
    <t>Handbook</t>
  </si>
  <si>
    <t>cp_al</t>
  </si>
  <si>
    <t>COPPER (Anode Collector, Negative Terminal)</t>
  </si>
  <si>
    <t>k_cu</t>
  </si>
  <si>
    <t>C11000</t>
  </si>
  <si>
    <t>cp_cu</t>
  </si>
  <si>
    <t>POLYPROPYLENE (Insulation)</t>
  </si>
  <si>
    <t>k_pp</t>
  </si>
  <si>
    <t>cp_pp</t>
  </si>
  <si>
    <t>HOMOGENIZED STACK (Effective Properties)</t>
  </si>
  <si>
    <t>Effective k (In-plane)</t>
  </si>
  <si>
    <t>k_stack_ip</t>
  </si>
  <si>
    <t>Weighted average X-Y</t>
  </si>
  <si>
    <t>Effective k (Through-plane)</t>
  </si>
  <si>
    <t>k_stack_tp</t>
  </si>
  <si>
    <t>Series resistance Z</t>
  </si>
  <si>
    <t>Effective Specific Heat</t>
  </si>
  <si>
    <t>cp_stack</t>
  </si>
  <si>
    <t>Mass-weighted average</t>
  </si>
  <si>
    <t>rho_stack</t>
  </si>
  <si>
    <t>Volume-weighted average</t>
  </si>
  <si>
    <t>CATHODE COATING</t>
  </si>
  <si>
    <t>Young's Modulus (In-plane)</t>
  </si>
  <si>
    <t>E_cat_ip</t>
  </si>
  <si>
    <t>GPa</t>
  </si>
  <si>
    <t>Ex = Ey</t>
  </si>
  <si>
    <t>Young's Modulus (Through-plane)</t>
  </si>
  <si>
    <t>E_cat_tp</t>
  </si>
  <si>
    <t>Ez (compressible)</t>
  </si>
  <si>
    <t>Poisson's Ratio</t>
  </si>
  <si>
    <t>nu_cat</t>
  </si>
  <si>
    <t>Assumed isotropic</t>
  </si>
  <si>
    <t>CTE</t>
  </si>
  <si>
    <t>cte_cat</t>
  </si>
  <si>
    <t>ppm/K</t>
  </si>
  <si>
    <t>Coefficient of thermal expansion</t>
  </si>
  <si>
    <t>ANODE COATING</t>
  </si>
  <si>
    <t>E_ano_ip</t>
  </si>
  <si>
    <t>E_ano_tp</t>
  </si>
  <si>
    <t>nu_ano</t>
  </si>
  <si>
    <t>cte_ano</t>
  </si>
  <si>
    <t>Graphite based</t>
  </si>
  <si>
    <t>SEPARATOR</t>
  </si>
  <si>
    <t>Young's Modulus (MD)</t>
  </si>
  <si>
    <t>E_sep_md</t>
  </si>
  <si>
    <t>Machine direction</t>
  </si>
  <si>
    <t>Young's Modulus (TD)</t>
  </si>
  <si>
    <t>E_sep_td</t>
  </si>
  <si>
    <t>Transverse direction</t>
  </si>
  <si>
    <t>nu_sep</t>
  </si>
  <si>
    <t>CTE (MD)</t>
  </si>
  <si>
    <t>cte_sep_md</t>
  </si>
  <si>
    <t>High for polymers</t>
  </si>
  <si>
    <t>CTE (TD)</t>
  </si>
  <si>
    <t>cte_sep_td</t>
  </si>
  <si>
    <t>ALUMINUM</t>
  </si>
  <si>
    <t>Young's Modulus</t>
  </si>
  <si>
    <t>E_al</t>
  </si>
  <si>
    <t>nu_al</t>
  </si>
  <si>
    <t>cte_al</t>
  </si>
  <si>
    <t>Yield Strength</t>
  </si>
  <si>
    <t>sy_al</t>
  </si>
  <si>
    <t>Al 3003-H14</t>
  </si>
  <si>
    <t>COPPER</t>
  </si>
  <si>
    <t>E_cu</t>
  </si>
  <si>
    <t>nu_cu</t>
  </si>
  <si>
    <t>cte_cu</t>
  </si>
  <si>
    <t>sy_cu</t>
  </si>
  <si>
    <t>C11000 annealed</t>
  </si>
  <si>
    <t>POLYPROPYLENE</t>
  </si>
  <si>
    <t>E_pp</t>
  </si>
  <si>
    <t>Bulk PP</t>
  </si>
  <si>
    <t>nu_pp</t>
  </si>
  <si>
    <t>Polymer</t>
  </si>
  <si>
    <t>cte_pp</t>
  </si>
  <si>
    <t>HOMOGENIZED STACK (Effective)</t>
  </si>
  <si>
    <t>Effective E (In-plane)</t>
  </si>
  <si>
    <t>E_stack_ip</t>
  </si>
  <si>
    <t>Parallel model</t>
  </si>
  <si>
    <t>Effective E (Through-plane)</t>
  </si>
  <si>
    <t>E_stack_tp</t>
  </si>
  <si>
    <t>Series model (compressible)</t>
  </si>
  <si>
    <t>Effective Poisson</t>
  </si>
  <si>
    <t>nu_stack</t>
  </si>
  <si>
    <t>Averaged</t>
  </si>
  <si>
    <t>Effective CTE</t>
  </si>
  <si>
    <t>cte_stack</t>
  </si>
  <si>
    <t>ELECTRODE COATINGS</t>
  </si>
  <si>
    <t>Cathode Electronic Conductivity</t>
  </si>
  <si>
    <t>sigma_cat</t>
  </si>
  <si>
    <t>S/m</t>
  </si>
  <si>
    <t>Through coating (low due to AM)</t>
  </si>
  <si>
    <t>Anode Electronic Conductivity</t>
  </si>
  <si>
    <t>sigma_ano</t>
  </si>
  <si>
    <t>Graphite is conductive</t>
  </si>
  <si>
    <t>CURRENT COLLECTORS</t>
  </si>
  <si>
    <t>Aluminum Conductivity</t>
  </si>
  <si>
    <t>sigma_al</t>
  </si>
  <si>
    <t>Al 1050</t>
  </si>
  <si>
    <t>Copper Conductivity</t>
  </si>
  <si>
    <t>sigma_cu</t>
  </si>
  <si>
    <t>ELECTROLYTE (Ionic)</t>
  </si>
  <si>
    <t>Ionic Conductivity (25°C)</t>
  </si>
  <si>
    <t>sigma_elec_25</t>
  </si>
  <si>
    <t>Ionic Conductivity (45°C)</t>
  </si>
  <si>
    <t>sigma_elec_45</t>
  </si>
  <si>
    <t>At 45°C</t>
  </si>
  <si>
    <t>Activation Energy</t>
  </si>
  <si>
    <t>Ea_elec</t>
  </si>
  <si>
    <t>kJ/mol</t>
  </si>
  <si>
    <t>For conductivity temperature dependence</t>
  </si>
  <si>
    <t>Transference Number (Li+)</t>
  </si>
  <si>
    <t>t_plus</t>
  </si>
  <si>
    <t>Li+ transport number</t>
  </si>
  <si>
    <t>INSULATORS</t>
  </si>
  <si>
    <t>PP Conductivity</t>
  </si>
  <si>
    <t>sigma_pp</t>
  </si>
  <si>
    <t>Essentially zero</t>
  </si>
  <si>
    <t>PEEK Conductivity</t>
  </si>
  <si>
    <t>sigma_peek</t>
  </si>
  <si>
    <t>Separator Effective Conductivity</t>
  </si>
  <si>
    <t>sigma_sep_eff</t>
  </si>
  <si>
    <t>Electrolyte in pores × porosity/tortuosity</t>
  </si>
  <si>
    <t>CONTACT RESISTANCES</t>
  </si>
  <si>
    <t>Tab-Collector Contact</t>
  </si>
  <si>
    <t>R_tab_cc</t>
  </si>
  <si>
    <t>Ω·m²</t>
  </si>
  <si>
    <t>Ultrasonic weld</t>
  </si>
  <si>
    <t>Busbar-Terminal Contact</t>
  </si>
  <si>
    <t>R_bb_term</t>
  </si>
  <si>
    <t>Laser weld</t>
  </si>
  <si>
    <t>Coating-Collector Contact</t>
  </si>
  <si>
    <t>R_coat_cc</t>
  </si>
  <si>
    <t>Calendered interface</t>
  </si>
  <si>
    <t>EXTERNAL SURFACES (for BC)</t>
  </si>
  <si>
    <t>Top Surface (Lid)</t>
  </si>
  <si>
    <t>surf_top</t>
  </si>
  <si>
    <t>SURF_TOP</t>
  </si>
  <si>
    <t>Named surface for thermal BC</t>
  </si>
  <si>
    <t>FEM setup</t>
  </si>
  <si>
    <t>Bottom Surface</t>
  </si>
  <si>
    <t>surf_bot</t>
  </si>
  <si>
    <t>SURF_BOT</t>
  </si>
  <si>
    <t>Primary cooling surface</t>
  </si>
  <si>
    <t>Front Surface</t>
  </si>
  <si>
    <t>surf_front</t>
  </si>
  <si>
    <t>SURF_FRONT</t>
  </si>
  <si>
    <t>Named surface</t>
  </si>
  <si>
    <t>Back Surface</t>
  </si>
  <si>
    <t>surf_back</t>
  </si>
  <si>
    <t>SURF_BACK</t>
  </si>
  <si>
    <t>Left Surface</t>
  </si>
  <si>
    <t>surf_left</t>
  </si>
  <si>
    <t>SURF_LEFT</t>
  </si>
  <si>
    <t>Right Surface</t>
  </si>
  <si>
    <t>surf_right</t>
  </si>
  <si>
    <t>SURF_RIGHT</t>
  </si>
  <si>
    <t>COOLING CONFIGURATION</t>
  </si>
  <si>
    <t>Cooling Type</t>
  </si>
  <si>
    <t>cool_type</t>
  </si>
  <si>
    <t>Surface</t>
  </si>
  <si>
    <t>Surface/Tabs/Liquid Plate</t>
  </si>
  <si>
    <t>User choice</t>
  </si>
  <si>
    <t>Cooling Surface</t>
  </si>
  <si>
    <t>cool_surf</t>
  </si>
  <si>
    <t>Bottom</t>
  </si>
  <si>
    <t>Which surface is cooled</t>
  </si>
  <si>
    <t>Ambient Temperature</t>
  </si>
  <si>
    <t>T_amb</t>
  </si>
  <si>
    <t>°C</t>
  </si>
  <si>
    <t>Environment temperature</t>
  </si>
  <si>
    <t>Operating condition</t>
  </si>
  <si>
    <t>Coolant Temperature</t>
  </si>
  <si>
    <t>T_cool</t>
  </si>
  <si>
    <t>Cooling fluid temperature</t>
  </si>
  <si>
    <t>Heat Transfer Coefficient</t>
  </si>
  <si>
    <t>h_conv</t>
  </si>
  <si>
    <t>W/(m²·K)</t>
  </si>
  <si>
    <t>Natural/forced convection</t>
  </si>
  <si>
    <t>Cooling Plate HTC</t>
  </si>
  <si>
    <t>h_plate</t>
  </si>
  <si>
    <t>If liquid cooled</t>
  </si>
  <si>
    <t>HEAT GENERATION ZONES</t>
  </si>
  <si>
    <t>Electrode Stack Zone</t>
  </si>
  <si>
    <t>zone_stack</t>
  </si>
  <si>
    <t>ZONE_STACK</t>
  </si>
  <si>
    <t>Main heat generation</t>
  </si>
  <si>
    <t>Tab Weld Zone (Cathode)</t>
  </si>
  <si>
    <t>zone_weld_cat</t>
  </si>
  <si>
    <t>ZONE_WELD_CAT</t>
  </si>
  <si>
    <t>Current constriction heating</t>
  </si>
  <si>
    <t>Tab Weld Zone (Anode)</t>
  </si>
  <si>
    <t>zone_weld_ano</t>
  </si>
  <si>
    <t>ZONE_WELD_ANO</t>
  </si>
  <si>
    <t>Terminal Zone (Positive)</t>
  </si>
  <si>
    <t>zone_term_pos</t>
  </si>
  <si>
    <t>ZONE_TERM_POS</t>
  </si>
  <si>
    <t>Contact resistance heating</t>
  </si>
  <si>
    <t>Terminal Zone (Negative)</t>
  </si>
  <si>
    <t>zone_term_neg</t>
  </si>
  <si>
    <t>ZONE_TERM_NEG</t>
  </si>
  <si>
    <t>CONTACT INTERFACES</t>
  </si>
  <si>
    <t>Stack-Shell Contact</t>
  </si>
  <si>
    <t>contact_stack_shell</t>
  </si>
  <si>
    <t>CONTACT_01</t>
  </si>
  <si>
    <t>Stack to insulation shell</t>
  </si>
  <si>
    <t>Shell-Case Contact</t>
  </si>
  <si>
    <t>contact_shell_case</t>
  </si>
  <si>
    <t>CONTACT_02</t>
  </si>
  <si>
    <t>Shell to case wall</t>
  </si>
  <si>
    <t>Tab-Busbar Contact</t>
  </si>
  <si>
    <t>contact_tab_bb</t>
  </si>
  <si>
    <t>CONTACT_03</t>
  </si>
  <si>
    <t>Tab to busbar weld</t>
  </si>
  <si>
    <t>contact_bb_term</t>
  </si>
  <si>
    <t>CONTACT_04</t>
  </si>
  <si>
    <t>Busbar to terminal weld</t>
  </si>
  <si>
    <t>Contact Thermal Resistance</t>
  </si>
  <si>
    <t>R_th_contact</t>
  </si>
  <si>
    <t>(m²·K)/W</t>
  </si>
  <si>
    <t>Default contact resistance</t>
  </si>
  <si>
    <t>ELECTRICAL BOUNDARY CONDITIONS</t>
  </si>
  <si>
    <t>Positive Terminal BC</t>
  </si>
  <si>
    <t>bc_term_pos</t>
  </si>
  <si>
    <t>Current Source</t>
  </si>
  <si>
    <t>Current/Voltage/Power</t>
  </si>
  <si>
    <t>Negative Terminal BC</t>
  </si>
  <si>
    <t>bc_term_neg</t>
  </si>
  <si>
    <t>Ground</t>
  </si>
  <si>
    <t>Ground (0V reference)</t>
  </si>
  <si>
    <t>Nominal Current</t>
  </si>
  <si>
    <t>I_nom</t>
  </si>
  <si>
    <t>A</t>
  </si>
  <si>
    <t>1C discharge current</t>
  </si>
  <si>
    <t>From capacity</t>
  </si>
  <si>
    <t>Maximum Current</t>
  </si>
  <si>
    <t>I_max</t>
  </si>
  <si>
    <t>3C discharge current</t>
  </si>
  <si>
    <t>Category</t>
  </si>
  <si>
    <t>Default Value</t>
  </si>
  <si>
    <t>Notes</t>
  </si>
  <si>
    <t>Cell Envelope</t>
  </si>
  <si>
    <t>Dimensions (H×W×T)</t>
  </si>
  <si>
    <t>88.8 × 264.6 × 29.6</t>
  </si>
  <si>
    <t>3.0</t>
  </si>
  <si>
    <t>Industry standard</t>
  </si>
  <si>
    <t>Stack</t>
  </si>
  <si>
    <t>Stacks × Pairs</t>
  </si>
  <si>
    <t>2 × 44</t>
  </si>
  <si>
    <t>88 cathode, 90 anode sheets</t>
  </si>
  <si>
    <t>Stack Dimensions</t>
  </si>
  <si>
    <t>82 × 259.7</t>
  </si>
  <si>
    <t>H × W</t>
  </si>
  <si>
    <t>Stack Thickness (dry/SoC100)</t>
  </si>
  <si>
    <t>27.95 / 30.90</t>
  </si>
  <si>
    <t>~10% swelling</t>
  </si>
  <si>
    <t>Cathode</t>
  </si>
  <si>
    <t>Chemistry</t>
  </si>
  <si>
    <t>NMC (Ni-90.5)</t>
  </si>
  <si>
    <t>High-Ni NMC</t>
  </si>
  <si>
    <t>Sheet Size</t>
  </si>
  <si>
    <t>74 × 251.7</t>
  </si>
  <si>
    <t>Loading</t>
  </si>
  <si>
    <t>19.674</t>
  </si>
  <si>
    <t>Per side</t>
  </si>
  <si>
    <t>Collector</t>
  </si>
  <si>
    <t>12 µm Al</t>
  </si>
  <si>
    <t>Aluminum foil</t>
  </si>
  <si>
    <t>Anode</t>
  </si>
  <si>
    <t>Graphite/SiOx (7.5% Si)</t>
  </si>
  <si>
    <t>Blended</t>
  </si>
  <si>
    <t>78 × 255.7</t>
  </si>
  <si>
    <t>H × W (+2mm overhang)</t>
  </si>
  <si>
    <t>11.478</t>
  </si>
  <si>
    <t>6 µm Cu</t>
  </si>
  <si>
    <t>Copper foil</t>
  </si>
  <si>
    <t>Separator</t>
  </si>
  <si>
    <t>PP/Ceramic</t>
  </si>
  <si>
    <t>Coated separator</t>
  </si>
  <si>
    <t>13</t>
  </si>
  <si>
    <t>9µm PP + 4µm Al2O3</t>
  </si>
  <si>
    <t>Porosity</t>
  </si>
  <si>
    <t>42.65</t>
  </si>
  <si>
    <t>Effective</t>
  </si>
  <si>
    <t>Electrolyte</t>
  </si>
  <si>
    <t>1.2M LiPF6</t>
  </si>
  <si>
    <t>1223</t>
  </si>
  <si>
    <t>Volume</t>
  </si>
  <si>
    <t>186.3</t>
  </si>
  <si>
    <t>In pores</t>
  </si>
  <si>
    <t>Terminals</t>
  </si>
  <si>
    <t>M8 bolt pattern</t>
  </si>
  <si>
    <t>16</t>
  </si>
  <si>
    <t>Both terminals</t>
  </si>
  <si>
    <t>Position</t>
  </si>
  <si>
    <t>30% / 70%</t>
  </si>
  <si>
    <t>from left</t>
  </si>
  <si>
    <t>Auto-centered</t>
  </si>
  <si>
    <t>Thermal</t>
  </si>
  <si>
    <t>Stack k (in-plane)</t>
  </si>
  <si>
    <t>25</t>
  </si>
  <si>
    <t>Stack k (through-plane)</t>
  </si>
  <si>
    <t>0.8</t>
  </si>
  <si>
    <t>Stack Cp</t>
  </si>
  <si>
    <t>1100</t>
  </si>
  <si>
    <t>Mechanical</t>
  </si>
  <si>
    <t>Stack E (in-plane)</t>
  </si>
  <si>
    <t>8.0</t>
  </si>
  <si>
    <t>Stack E (through-plane)</t>
  </si>
  <si>
    <t>0.3</t>
  </si>
  <si>
    <t>Compressible</t>
  </si>
  <si>
    <t>Electrical</t>
  </si>
  <si>
    <t>Al Conductivity</t>
  </si>
  <si>
    <t>3.77×10⁷</t>
  </si>
  <si>
    <t>Collector/Terminal</t>
  </si>
  <si>
    <t>Cu Conductivity</t>
  </si>
  <si>
    <t>5.96×10⁷</t>
  </si>
  <si>
    <t>Electrolyte Conductivity</t>
  </si>
  <si>
    <t>1.0</t>
  </si>
  <si>
    <t>Ionic, at 25°C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</si>
</sst>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workbookViewId="0">
      <selection activeCell="D30" sqref="D30"/>
    </sheetView>
  </sheetViews>
  <sheetFormatPr defaultRowHeight="14.5" x14ac:dyDescent="0.35"/>
  <cols>
    <col min="1" max="1" width="35" customWidth="1"/>
    <col min="2" max="2" width="12" customWidth="1"/>
    <col min="3" max="3" width="15" customWidth="1"/>
    <col min="4" max="4" width="12" customWidth="1"/>
    <col min="5" max="5" width="15" customWidth="1"/>
    <col min="6" max="7" width="10" customWidth="1"/>
    <col min="8" max="8" width="50" customWidth="1"/>
    <col min="9" max="9" width="3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3"/>
      <c r="C2" s="3"/>
      <c r="D2" s="3"/>
      <c r="E2" s="3"/>
      <c r="F2" s="3"/>
      <c r="G2" s="3"/>
      <c r="H2" s="3"/>
      <c r="I2" s="3"/>
    </row>
    <row r="3" spans="1:9" x14ac:dyDescent="0.35">
      <c r="A3" t="s">
        <v>10</v>
      </c>
      <c r="B3" t="s">
        <v>11</v>
      </c>
      <c r="C3">
        <v>88.8</v>
      </c>
      <c r="D3" t="s">
        <v>12</v>
      </c>
      <c r="E3">
        <v>88.8</v>
      </c>
      <c r="F3">
        <v>50</v>
      </c>
      <c r="G3">
        <v>200</v>
      </c>
      <c r="H3" t="s">
        <v>13</v>
      </c>
      <c r="I3" t="s">
        <v>14</v>
      </c>
    </row>
    <row r="4" spans="1:9" x14ac:dyDescent="0.35">
      <c r="A4" t="s">
        <v>15</v>
      </c>
      <c r="B4" t="s">
        <v>16</v>
      </c>
      <c r="C4">
        <v>264.60000000000002</v>
      </c>
      <c r="D4" t="s">
        <v>12</v>
      </c>
      <c r="E4">
        <v>264.60000000000002</v>
      </c>
      <c r="F4">
        <v>100</v>
      </c>
      <c r="G4">
        <v>400</v>
      </c>
      <c r="H4" t="s">
        <v>17</v>
      </c>
      <c r="I4" t="s">
        <v>14</v>
      </c>
    </row>
    <row r="5" spans="1:9" x14ac:dyDescent="0.35">
      <c r="A5" t="s">
        <v>18</v>
      </c>
      <c r="B5" t="s">
        <v>19</v>
      </c>
      <c r="C5">
        <v>29.6</v>
      </c>
      <c r="D5" t="s">
        <v>12</v>
      </c>
      <c r="E5">
        <v>29.6</v>
      </c>
      <c r="F5">
        <v>10</v>
      </c>
      <c r="G5">
        <v>80</v>
      </c>
      <c r="H5" t="s">
        <v>20</v>
      </c>
      <c r="I5" t="s">
        <v>14</v>
      </c>
    </row>
    <row r="6" spans="1:9" x14ac:dyDescent="0.35">
      <c r="A6" t="s">
        <v>21</v>
      </c>
      <c r="B6" t="s">
        <v>22</v>
      </c>
      <c r="C6">
        <v>3</v>
      </c>
      <c r="D6" t="s">
        <v>12</v>
      </c>
      <c r="E6">
        <v>3</v>
      </c>
      <c r="F6">
        <v>1</v>
      </c>
      <c r="G6">
        <v>10</v>
      </c>
      <c r="H6" t="s">
        <v>23</v>
      </c>
      <c r="I6" t="s">
        <v>24</v>
      </c>
    </row>
    <row r="8" spans="1:9" x14ac:dyDescent="0.35">
      <c r="A8" s="2" t="s">
        <v>25</v>
      </c>
      <c r="B8" s="3"/>
      <c r="C8" s="3"/>
      <c r="D8" s="3"/>
      <c r="E8" s="3"/>
      <c r="F8" s="3"/>
      <c r="G8" s="3"/>
      <c r="H8" s="3"/>
      <c r="I8" s="3"/>
    </row>
    <row r="9" spans="1:9" x14ac:dyDescent="0.35">
      <c r="A9" t="s">
        <v>26</v>
      </c>
      <c r="B9" t="s">
        <v>27</v>
      </c>
      <c r="C9">
        <v>2</v>
      </c>
      <c r="D9" t="s">
        <v>12</v>
      </c>
      <c r="E9">
        <v>2</v>
      </c>
      <c r="F9">
        <v>0.5</v>
      </c>
      <c r="G9">
        <v>5</v>
      </c>
      <c r="H9" t="s">
        <v>28</v>
      </c>
      <c r="I9" t="s">
        <v>14</v>
      </c>
    </row>
    <row r="10" spans="1:9" x14ac:dyDescent="0.35">
      <c r="A10" t="s">
        <v>29</v>
      </c>
      <c r="B10" t="s">
        <v>30</v>
      </c>
      <c r="C10">
        <v>1</v>
      </c>
      <c r="D10" t="s">
        <v>12</v>
      </c>
      <c r="E10">
        <v>1</v>
      </c>
      <c r="F10">
        <v>0.5</v>
      </c>
      <c r="G10">
        <v>3</v>
      </c>
      <c r="H10" t="s">
        <v>31</v>
      </c>
      <c r="I10" t="s">
        <v>14</v>
      </c>
    </row>
    <row r="11" spans="1:9" x14ac:dyDescent="0.35">
      <c r="A11" t="s">
        <v>32</v>
      </c>
      <c r="B11" t="s">
        <v>33</v>
      </c>
      <c r="C11">
        <v>0.5</v>
      </c>
      <c r="D11" t="s">
        <v>12</v>
      </c>
      <c r="E11">
        <v>0.5</v>
      </c>
      <c r="F11">
        <v>0.3</v>
      </c>
      <c r="G11">
        <v>2</v>
      </c>
      <c r="H11" t="s">
        <v>34</v>
      </c>
      <c r="I11" t="s">
        <v>14</v>
      </c>
    </row>
    <row r="12" spans="1:9" x14ac:dyDescent="0.35">
      <c r="A12" t="s">
        <v>35</v>
      </c>
      <c r="B12" t="s">
        <v>36</v>
      </c>
      <c r="C12">
        <v>0.5</v>
      </c>
      <c r="D12" t="s">
        <v>12</v>
      </c>
      <c r="E12">
        <v>0.5</v>
      </c>
      <c r="F12">
        <v>0.3</v>
      </c>
      <c r="G12">
        <v>2</v>
      </c>
      <c r="H12" t="s">
        <v>37</v>
      </c>
      <c r="I12" t="s">
        <v>14</v>
      </c>
    </row>
    <row r="13" spans="1:9" x14ac:dyDescent="0.35">
      <c r="A13" t="s">
        <v>38</v>
      </c>
      <c r="B13" t="s">
        <v>39</v>
      </c>
      <c r="C13">
        <v>0.7</v>
      </c>
      <c r="D13" t="s">
        <v>12</v>
      </c>
      <c r="E13">
        <v>0.7</v>
      </c>
      <c r="F13">
        <v>0.3</v>
      </c>
      <c r="G13">
        <v>2</v>
      </c>
      <c r="H13" t="s">
        <v>40</v>
      </c>
      <c r="I13" t="s">
        <v>14</v>
      </c>
    </row>
    <row r="14" spans="1:9" x14ac:dyDescent="0.35">
      <c r="A14" t="s">
        <v>41</v>
      </c>
      <c r="B14" t="s">
        <v>42</v>
      </c>
      <c r="C14">
        <v>0.7</v>
      </c>
      <c r="D14" t="s">
        <v>12</v>
      </c>
      <c r="E14">
        <v>0.7</v>
      </c>
      <c r="F14">
        <v>0.3</v>
      </c>
      <c r="G14">
        <v>2</v>
      </c>
      <c r="H14" t="s">
        <v>43</v>
      </c>
      <c r="I14" t="s">
        <v>14</v>
      </c>
    </row>
    <row r="15" spans="1:9" x14ac:dyDescent="0.35">
      <c r="A15" t="s">
        <v>44</v>
      </c>
      <c r="B15" t="s">
        <v>45</v>
      </c>
      <c r="C15">
        <v>1.5</v>
      </c>
      <c r="D15" t="s">
        <v>12</v>
      </c>
      <c r="E15">
        <v>1.5</v>
      </c>
      <c r="F15">
        <v>0.5</v>
      </c>
      <c r="G15">
        <v>5</v>
      </c>
      <c r="H15" t="s">
        <v>46</v>
      </c>
      <c r="I15" t="s">
        <v>24</v>
      </c>
    </row>
    <row r="17" spans="1:9" x14ac:dyDescent="0.35">
      <c r="A17" s="2" t="s">
        <v>47</v>
      </c>
      <c r="B17" s="3"/>
      <c r="C17" s="3"/>
      <c r="D17" s="3"/>
      <c r="E17" s="3"/>
      <c r="F17" s="3"/>
      <c r="G17" s="3"/>
      <c r="H17" s="3"/>
      <c r="I17" s="3"/>
    </row>
    <row r="18" spans="1:9" x14ac:dyDescent="0.35">
      <c r="A18" t="s">
        <v>48</v>
      </c>
      <c r="B18" t="s">
        <v>49</v>
      </c>
      <c r="C18" t="s">
        <v>50</v>
      </c>
      <c r="D18" t="s">
        <v>51</v>
      </c>
      <c r="E18" t="s">
        <v>50</v>
      </c>
      <c r="F18" t="s">
        <v>51</v>
      </c>
      <c r="G18" t="s">
        <v>51</v>
      </c>
      <c r="H18" t="s">
        <v>52</v>
      </c>
      <c r="I18" t="s">
        <v>53</v>
      </c>
    </row>
    <row r="19" spans="1:9" x14ac:dyDescent="0.35">
      <c r="A19" t="s">
        <v>54</v>
      </c>
      <c r="B19" t="s">
        <v>55</v>
      </c>
      <c r="C19">
        <v>2700</v>
      </c>
      <c r="D19" t="s">
        <v>56</v>
      </c>
      <c r="E19">
        <v>2700</v>
      </c>
      <c r="F19">
        <v>2600</v>
      </c>
      <c r="G19">
        <v>2800</v>
      </c>
      <c r="H19" t="s">
        <v>57</v>
      </c>
      <c r="I19" t="s">
        <v>58</v>
      </c>
    </row>
    <row r="21" spans="1:9" x14ac:dyDescent="0.35">
      <c r="A21" s="2" t="s">
        <v>59</v>
      </c>
      <c r="B21" s="3"/>
      <c r="C21" s="3"/>
      <c r="D21" s="3"/>
      <c r="E21" s="3"/>
      <c r="F21" s="3"/>
      <c r="G21" s="3"/>
      <c r="H21" s="3"/>
      <c r="I21" s="3"/>
    </row>
    <row r="22" spans="1:9" x14ac:dyDescent="0.35">
      <c r="A22" t="s">
        <v>60</v>
      </c>
      <c r="B22" t="s">
        <v>61</v>
      </c>
      <c r="C22" t="e">
        <f>B3-B7-B8</f>
        <v>#VALUE!</v>
      </c>
      <c r="D22" t="s">
        <v>12</v>
      </c>
      <c r="E22">
        <v>85.8</v>
      </c>
      <c r="F22" t="s">
        <v>51</v>
      </c>
      <c r="G22" t="s">
        <v>51</v>
      </c>
      <c r="H22" t="s">
        <v>62</v>
      </c>
      <c r="I22" t="s">
        <v>63</v>
      </c>
    </row>
    <row r="23" spans="1:9" x14ac:dyDescent="0.35">
      <c r="A23" t="s">
        <v>64</v>
      </c>
      <c r="B23" t="s">
        <v>65</v>
      </c>
      <c r="C23" t="e">
        <f>B4-B11-B12</f>
        <v>#VALUE!</v>
      </c>
      <c r="D23" t="s">
        <v>12</v>
      </c>
      <c r="E23">
        <v>263.2</v>
      </c>
      <c r="F23" t="s">
        <v>51</v>
      </c>
      <c r="G23" t="s">
        <v>51</v>
      </c>
      <c r="H23" t="s">
        <v>66</v>
      </c>
      <c r="I23" t="s">
        <v>63</v>
      </c>
    </row>
    <row r="24" spans="1:9" x14ac:dyDescent="0.35">
      <c r="A24" t="s">
        <v>67</v>
      </c>
      <c r="B24" t="s">
        <v>68</v>
      </c>
      <c r="C24" t="e">
        <f>B5-B9-B10</f>
        <v>#VALUE!</v>
      </c>
      <c r="D24" t="s">
        <v>12</v>
      </c>
      <c r="E24">
        <v>28.6</v>
      </c>
      <c r="F24" t="s">
        <v>51</v>
      </c>
      <c r="G24" t="s">
        <v>51</v>
      </c>
      <c r="H24" t="s">
        <v>69</v>
      </c>
      <c r="I24" t="s">
        <v>63</v>
      </c>
    </row>
    <row r="25" spans="1:9" x14ac:dyDescent="0.35">
      <c r="A25" t="s">
        <v>70</v>
      </c>
      <c r="B25" t="s">
        <v>71</v>
      </c>
      <c r="D25" t="s">
        <v>72</v>
      </c>
      <c r="E25">
        <v>699.9</v>
      </c>
      <c r="F25" t="s">
        <v>51</v>
      </c>
      <c r="G25" t="s">
        <v>51</v>
      </c>
      <c r="H25" t="s">
        <v>73</v>
      </c>
      <c r="I25" t="s">
        <v>63</v>
      </c>
    </row>
  </sheetData>
  <mergeCells count="4">
    <mergeCell ref="A17:I17"/>
    <mergeCell ref="A21:I21"/>
    <mergeCell ref="A8:I8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workbookViewId="0"/>
  </sheetViews>
  <sheetFormatPr defaultRowHeight="14.5" x14ac:dyDescent="0.35"/>
  <cols>
    <col min="1" max="1" width="35" customWidth="1"/>
    <col min="2" max="2" width="12" customWidth="1"/>
    <col min="3" max="3" width="15" customWidth="1"/>
    <col min="4" max="4" width="12" customWidth="1"/>
    <col min="5" max="5" width="15" customWidth="1"/>
    <col min="6" max="7" width="10" customWidth="1"/>
    <col min="8" max="8" width="50" customWidth="1"/>
    <col min="9" max="9" width="3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74</v>
      </c>
      <c r="B2" s="3"/>
      <c r="C2" s="3"/>
      <c r="D2" s="3"/>
      <c r="E2" s="3"/>
      <c r="F2" s="3"/>
      <c r="G2" s="3"/>
      <c r="H2" s="3"/>
      <c r="I2" s="3"/>
    </row>
    <row r="3" spans="1:9" x14ac:dyDescent="0.35">
      <c r="A3" t="s">
        <v>75</v>
      </c>
      <c r="B3" t="s">
        <v>76</v>
      </c>
      <c r="C3">
        <v>2</v>
      </c>
      <c r="D3" t="s">
        <v>51</v>
      </c>
      <c r="E3">
        <v>2</v>
      </c>
      <c r="F3">
        <v>1</v>
      </c>
      <c r="G3">
        <v>4</v>
      </c>
      <c r="H3" t="s">
        <v>77</v>
      </c>
      <c r="I3" t="s">
        <v>14</v>
      </c>
    </row>
    <row r="4" spans="1:9" x14ac:dyDescent="0.35">
      <c r="A4" t="s">
        <v>78</v>
      </c>
      <c r="B4" t="s">
        <v>79</v>
      </c>
      <c r="C4">
        <v>44</v>
      </c>
      <c r="D4" t="s">
        <v>51</v>
      </c>
      <c r="E4">
        <v>44</v>
      </c>
      <c r="F4">
        <v>10</v>
      </c>
      <c r="G4">
        <v>100</v>
      </c>
      <c r="H4" t="s">
        <v>80</v>
      </c>
      <c r="I4" t="s">
        <v>14</v>
      </c>
    </row>
    <row r="5" spans="1:9" x14ac:dyDescent="0.35">
      <c r="A5" t="s">
        <v>81</v>
      </c>
      <c r="B5" t="s">
        <v>82</v>
      </c>
      <c r="C5" t="s">
        <v>83</v>
      </c>
      <c r="D5" t="s">
        <v>51</v>
      </c>
      <c r="E5" t="s">
        <v>83</v>
      </c>
      <c r="F5" t="s">
        <v>51</v>
      </c>
      <c r="G5" t="s">
        <v>51</v>
      </c>
      <c r="H5" t="s">
        <v>84</v>
      </c>
      <c r="I5" t="s">
        <v>14</v>
      </c>
    </row>
    <row r="7" spans="1:9" x14ac:dyDescent="0.35">
      <c r="A7" s="2" t="s">
        <v>85</v>
      </c>
      <c r="B7" s="3"/>
      <c r="C7" s="3"/>
      <c r="D7" s="3"/>
      <c r="E7" s="3"/>
      <c r="F7" s="3"/>
      <c r="G7" s="3"/>
      <c r="H7" s="3"/>
      <c r="I7" s="3"/>
    </row>
    <row r="8" spans="1:9" x14ac:dyDescent="0.35">
      <c r="A8" t="s">
        <v>86</v>
      </c>
      <c r="B8" t="s">
        <v>87</v>
      </c>
      <c r="C8">
        <v>44</v>
      </c>
      <c r="D8" t="s">
        <v>51</v>
      </c>
      <c r="E8">
        <v>44</v>
      </c>
      <c r="F8" t="s">
        <v>51</v>
      </c>
      <c r="G8" t="s">
        <v>51</v>
      </c>
      <c r="H8" t="s">
        <v>88</v>
      </c>
      <c r="I8" t="s">
        <v>63</v>
      </c>
    </row>
    <row r="9" spans="1:9" x14ac:dyDescent="0.35">
      <c r="A9" t="s">
        <v>89</v>
      </c>
      <c r="B9" t="s">
        <v>90</v>
      </c>
      <c r="C9">
        <v>45</v>
      </c>
      <c r="D9" t="s">
        <v>51</v>
      </c>
      <c r="E9">
        <v>45</v>
      </c>
      <c r="F9" t="s">
        <v>51</v>
      </c>
      <c r="G9" t="s">
        <v>51</v>
      </c>
      <c r="H9" t="s">
        <v>88</v>
      </c>
      <c r="I9" t="s">
        <v>63</v>
      </c>
    </row>
    <row r="10" spans="1:9" x14ac:dyDescent="0.35">
      <c r="A10" t="s">
        <v>91</v>
      </c>
      <c r="B10" t="s">
        <v>92</v>
      </c>
      <c r="C10">
        <v>90</v>
      </c>
      <c r="D10" t="s">
        <v>51</v>
      </c>
      <c r="E10">
        <v>90</v>
      </c>
      <c r="F10" t="s">
        <v>51</v>
      </c>
      <c r="G10" t="s">
        <v>51</v>
      </c>
      <c r="H10" t="s">
        <v>93</v>
      </c>
      <c r="I10" t="s">
        <v>63</v>
      </c>
    </row>
    <row r="12" spans="1:9" x14ac:dyDescent="0.35">
      <c r="A12" s="2" t="s">
        <v>94</v>
      </c>
      <c r="B12" s="3"/>
      <c r="C12" s="3"/>
      <c r="D12" s="3"/>
      <c r="E12" s="3"/>
      <c r="F12" s="3"/>
      <c r="G12" s="3"/>
      <c r="H12" s="3"/>
      <c r="I12" s="3"/>
    </row>
    <row r="13" spans="1:9" x14ac:dyDescent="0.35">
      <c r="A13" t="s">
        <v>95</v>
      </c>
      <c r="B13" t="s">
        <v>96</v>
      </c>
      <c r="C13">
        <v>88</v>
      </c>
      <c r="D13" t="s">
        <v>51</v>
      </c>
      <c r="E13">
        <v>88</v>
      </c>
      <c r="F13" t="s">
        <v>51</v>
      </c>
      <c r="G13" t="s">
        <v>51</v>
      </c>
      <c r="H13" t="s">
        <v>97</v>
      </c>
      <c r="I13" t="s">
        <v>63</v>
      </c>
    </row>
    <row r="14" spans="1:9" x14ac:dyDescent="0.35">
      <c r="A14" t="s">
        <v>98</v>
      </c>
      <c r="B14" t="s">
        <v>99</v>
      </c>
      <c r="C14">
        <v>90</v>
      </c>
      <c r="D14" t="s">
        <v>51</v>
      </c>
      <c r="E14">
        <v>90</v>
      </c>
      <c r="F14" t="s">
        <v>51</v>
      </c>
      <c r="G14" t="s">
        <v>51</v>
      </c>
      <c r="H14" t="s">
        <v>100</v>
      </c>
      <c r="I14" t="s">
        <v>63</v>
      </c>
    </row>
    <row r="15" spans="1:9" x14ac:dyDescent="0.35">
      <c r="A15" t="s">
        <v>101</v>
      </c>
      <c r="B15" t="s">
        <v>102</v>
      </c>
      <c r="C15">
        <v>180</v>
      </c>
      <c r="D15" t="s">
        <v>51</v>
      </c>
      <c r="E15">
        <v>180</v>
      </c>
      <c r="F15" t="s">
        <v>51</v>
      </c>
      <c r="G15" t="s">
        <v>51</v>
      </c>
      <c r="H15" t="s">
        <v>103</v>
      </c>
      <c r="I15" t="s">
        <v>63</v>
      </c>
    </row>
    <row r="16" spans="1:9" x14ac:dyDescent="0.35">
      <c r="A16" t="s">
        <v>104</v>
      </c>
      <c r="B16" t="s">
        <v>105</v>
      </c>
      <c r="C16">
        <v>178</v>
      </c>
      <c r="D16" t="s">
        <v>51</v>
      </c>
      <c r="E16">
        <v>178</v>
      </c>
      <c r="F16" t="s">
        <v>51</v>
      </c>
      <c r="G16" t="s">
        <v>51</v>
      </c>
      <c r="H16" t="s">
        <v>106</v>
      </c>
      <c r="I16" t="s">
        <v>63</v>
      </c>
    </row>
    <row r="18" spans="1:9" x14ac:dyDescent="0.35">
      <c r="A18" s="2" t="s">
        <v>107</v>
      </c>
      <c r="B18" s="3"/>
      <c r="C18" s="3"/>
      <c r="D18" s="3"/>
      <c r="E18" s="3"/>
      <c r="F18" s="3"/>
      <c r="G18" s="3"/>
      <c r="H18" s="3"/>
      <c r="I18" s="3"/>
    </row>
    <row r="19" spans="1:9" x14ac:dyDescent="0.35">
      <c r="A19" t="s">
        <v>108</v>
      </c>
      <c r="B19" t="s">
        <v>109</v>
      </c>
      <c r="C19">
        <v>82</v>
      </c>
      <c r="D19" t="s">
        <v>12</v>
      </c>
      <c r="E19">
        <v>82</v>
      </c>
      <c r="F19" t="s">
        <v>51</v>
      </c>
      <c r="G19" t="s">
        <v>51</v>
      </c>
      <c r="H19" t="s">
        <v>110</v>
      </c>
      <c r="I19" t="s">
        <v>14</v>
      </c>
    </row>
    <row r="20" spans="1:9" x14ac:dyDescent="0.35">
      <c r="A20" t="s">
        <v>111</v>
      </c>
      <c r="B20" t="s">
        <v>112</v>
      </c>
      <c r="C20">
        <v>259.7</v>
      </c>
      <c r="D20" t="s">
        <v>12</v>
      </c>
      <c r="E20">
        <v>259.7</v>
      </c>
      <c r="F20" t="s">
        <v>51</v>
      </c>
      <c r="G20" t="s">
        <v>51</v>
      </c>
      <c r="H20" t="s">
        <v>113</v>
      </c>
      <c r="I20" t="s">
        <v>14</v>
      </c>
    </row>
    <row r="21" spans="1:9" x14ac:dyDescent="0.35">
      <c r="A21" t="s">
        <v>114</v>
      </c>
      <c r="B21" t="s">
        <v>115</v>
      </c>
      <c r="C21">
        <v>27.95</v>
      </c>
      <c r="D21" t="s">
        <v>12</v>
      </c>
      <c r="E21">
        <v>27.95</v>
      </c>
      <c r="F21" t="s">
        <v>51</v>
      </c>
      <c r="G21" t="s">
        <v>51</v>
      </c>
      <c r="H21" t="s">
        <v>116</v>
      </c>
      <c r="I21" t="s">
        <v>14</v>
      </c>
    </row>
    <row r="22" spans="1:9" x14ac:dyDescent="0.35">
      <c r="A22" t="s">
        <v>117</v>
      </c>
      <c r="B22" t="s">
        <v>118</v>
      </c>
      <c r="C22">
        <v>29.87</v>
      </c>
      <c r="D22" t="s">
        <v>12</v>
      </c>
      <c r="E22">
        <v>29.87</v>
      </c>
      <c r="F22" t="s">
        <v>51</v>
      </c>
      <c r="G22" t="s">
        <v>51</v>
      </c>
      <c r="H22" t="s">
        <v>119</v>
      </c>
      <c r="I22" t="s">
        <v>14</v>
      </c>
    </row>
    <row r="23" spans="1:9" x14ac:dyDescent="0.35">
      <c r="A23" t="s">
        <v>120</v>
      </c>
      <c r="B23" t="s">
        <v>121</v>
      </c>
      <c r="C23">
        <v>30.9</v>
      </c>
      <c r="D23" t="s">
        <v>12</v>
      </c>
      <c r="E23">
        <v>30.9</v>
      </c>
      <c r="F23" t="s">
        <v>51</v>
      </c>
      <c r="G23" t="s">
        <v>51</v>
      </c>
      <c r="H23" t="s">
        <v>122</v>
      </c>
      <c r="I23" t="s">
        <v>14</v>
      </c>
    </row>
    <row r="25" spans="1:9" x14ac:dyDescent="0.35">
      <c r="A25" s="2" t="s">
        <v>123</v>
      </c>
      <c r="B25" s="3"/>
      <c r="C25" s="3"/>
      <c r="D25" s="3"/>
      <c r="E25" s="3"/>
      <c r="F25" s="3"/>
      <c r="G25" s="3"/>
      <c r="H25" s="3"/>
      <c r="I25" s="3"/>
    </row>
    <row r="26" spans="1:9" x14ac:dyDescent="0.35">
      <c r="A26" t="s">
        <v>124</v>
      </c>
      <c r="B26" t="s">
        <v>125</v>
      </c>
      <c r="C26">
        <v>0.65</v>
      </c>
      <c r="D26" t="s">
        <v>12</v>
      </c>
      <c r="E26">
        <v>0.65</v>
      </c>
      <c r="F26" t="s">
        <v>51</v>
      </c>
      <c r="G26" t="s">
        <v>51</v>
      </c>
      <c r="H26" t="s">
        <v>126</v>
      </c>
      <c r="I26" t="s">
        <v>63</v>
      </c>
    </row>
    <row r="27" spans="1:9" x14ac:dyDescent="0.35">
      <c r="A27" t="s">
        <v>127</v>
      </c>
      <c r="B27" t="s">
        <v>128</v>
      </c>
      <c r="C27">
        <v>-2.2999999999999998</v>
      </c>
      <c r="D27" t="s">
        <v>12</v>
      </c>
      <c r="E27">
        <v>-2.2999999999999998</v>
      </c>
      <c r="F27" t="s">
        <v>51</v>
      </c>
      <c r="G27" t="s">
        <v>51</v>
      </c>
      <c r="H27" t="s">
        <v>129</v>
      </c>
      <c r="I27" t="s">
        <v>63</v>
      </c>
    </row>
    <row r="28" spans="1:9" x14ac:dyDescent="0.35">
      <c r="A28" t="s">
        <v>130</v>
      </c>
      <c r="B28" t="s">
        <v>131</v>
      </c>
      <c r="C28">
        <v>98.2</v>
      </c>
      <c r="D28" t="s">
        <v>132</v>
      </c>
      <c r="E28">
        <v>98.2</v>
      </c>
      <c r="F28" t="s">
        <v>51</v>
      </c>
      <c r="G28" t="s">
        <v>51</v>
      </c>
      <c r="H28" t="s">
        <v>133</v>
      </c>
      <c r="I28" t="s">
        <v>14</v>
      </c>
    </row>
  </sheetData>
  <mergeCells count="5">
    <mergeCell ref="A7:I7"/>
    <mergeCell ref="A25:I25"/>
    <mergeCell ref="A2:I2"/>
    <mergeCell ref="A18:I18"/>
    <mergeCell ref="A12:I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0"/>
  <sheetViews>
    <sheetView workbookViewId="0"/>
  </sheetViews>
  <sheetFormatPr defaultRowHeight="14.5" x14ac:dyDescent="0.35"/>
  <cols>
    <col min="1" max="1" width="35" customWidth="1"/>
    <col min="2" max="2" width="12" customWidth="1"/>
    <col min="3" max="3" width="15" customWidth="1"/>
    <col min="4" max="4" width="12" customWidth="1"/>
    <col min="5" max="5" width="15" customWidth="1"/>
    <col min="6" max="7" width="10" customWidth="1"/>
    <col min="8" max="8" width="50" customWidth="1"/>
    <col min="9" max="9" width="3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134</v>
      </c>
      <c r="B2" s="3"/>
      <c r="C2" s="3"/>
      <c r="D2" s="3"/>
      <c r="E2" s="3"/>
      <c r="F2" s="3"/>
      <c r="G2" s="3"/>
      <c r="H2" s="3"/>
      <c r="I2" s="3"/>
    </row>
    <row r="3" spans="1:9" x14ac:dyDescent="0.35">
      <c r="A3" t="s">
        <v>135</v>
      </c>
      <c r="B3" t="s">
        <v>136</v>
      </c>
      <c r="C3" t="s">
        <v>137</v>
      </c>
      <c r="D3" t="s">
        <v>51</v>
      </c>
      <c r="E3" t="s">
        <v>137</v>
      </c>
      <c r="F3" t="s">
        <v>51</v>
      </c>
      <c r="G3" t="s">
        <v>51</v>
      </c>
      <c r="H3" t="s">
        <v>138</v>
      </c>
      <c r="I3" t="s">
        <v>14</v>
      </c>
    </row>
    <row r="4" spans="1:9" x14ac:dyDescent="0.35">
      <c r="A4" t="s">
        <v>139</v>
      </c>
      <c r="B4" t="s">
        <v>140</v>
      </c>
      <c r="C4" t="s">
        <v>141</v>
      </c>
      <c r="D4" t="s">
        <v>51</v>
      </c>
      <c r="E4" t="s">
        <v>141</v>
      </c>
      <c r="F4" t="s">
        <v>51</v>
      </c>
      <c r="G4" t="s">
        <v>51</v>
      </c>
      <c r="H4" t="s">
        <v>142</v>
      </c>
      <c r="I4" t="s">
        <v>14</v>
      </c>
    </row>
    <row r="5" spans="1:9" x14ac:dyDescent="0.35">
      <c r="A5" t="s">
        <v>143</v>
      </c>
      <c r="B5" t="s">
        <v>144</v>
      </c>
      <c r="C5" t="s">
        <v>145</v>
      </c>
      <c r="D5" t="s">
        <v>51</v>
      </c>
      <c r="E5" t="s">
        <v>145</v>
      </c>
      <c r="F5" t="s">
        <v>51</v>
      </c>
      <c r="G5" t="s">
        <v>51</v>
      </c>
      <c r="H5" t="s">
        <v>146</v>
      </c>
      <c r="I5" t="s">
        <v>14</v>
      </c>
    </row>
    <row r="7" spans="1:9" x14ac:dyDescent="0.35">
      <c r="A7" s="2" t="s">
        <v>147</v>
      </c>
      <c r="B7" s="3"/>
      <c r="C7" s="3"/>
      <c r="D7" s="3"/>
      <c r="E7" s="3"/>
      <c r="F7" s="3"/>
      <c r="G7" s="3"/>
      <c r="H7" s="3"/>
      <c r="I7" s="3"/>
    </row>
    <row r="8" spans="1:9" x14ac:dyDescent="0.35">
      <c r="A8" t="s">
        <v>148</v>
      </c>
      <c r="B8" t="s">
        <v>149</v>
      </c>
      <c r="C8">
        <v>74</v>
      </c>
      <c r="D8" t="s">
        <v>12</v>
      </c>
      <c r="E8">
        <v>74</v>
      </c>
      <c r="F8">
        <v>50</v>
      </c>
      <c r="G8">
        <v>150</v>
      </c>
      <c r="H8" t="s">
        <v>150</v>
      </c>
      <c r="I8" t="s">
        <v>14</v>
      </c>
    </row>
    <row r="9" spans="1:9" x14ac:dyDescent="0.35">
      <c r="A9" t="s">
        <v>151</v>
      </c>
      <c r="B9" t="s">
        <v>152</v>
      </c>
      <c r="C9">
        <v>251.7</v>
      </c>
      <c r="D9" t="s">
        <v>12</v>
      </c>
      <c r="E9">
        <v>251.7</v>
      </c>
      <c r="F9">
        <v>100</v>
      </c>
      <c r="G9">
        <v>350</v>
      </c>
      <c r="H9" t="s">
        <v>153</v>
      </c>
      <c r="I9" t="s">
        <v>14</v>
      </c>
    </row>
    <row r="10" spans="1:9" x14ac:dyDescent="0.35">
      <c r="A10" t="s">
        <v>154</v>
      </c>
      <c r="B10" t="s">
        <v>155</v>
      </c>
      <c r="C10">
        <v>186.26</v>
      </c>
      <c r="D10" t="s">
        <v>156</v>
      </c>
      <c r="E10">
        <v>186.26</v>
      </c>
      <c r="F10" t="s">
        <v>51</v>
      </c>
      <c r="G10" t="s">
        <v>51</v>
      </c>
      <c r="H10" t="s">
        <v>157</v>
      </c>
      <c r="I10" t="s">
        <v>63</v>
      </c>
    </row>
    <row r="12" spans="1:9" x14ac:dyDescent="0.35">
      <c r="A12" s="2" t="s">
        <v>158</v>
      </c>
      <c r="B12" s="3"/>
      <c r="C12" s="3"/>
      <c r="D12" s="3"/>
      <c r="E12" s="3"/>
      <c r="F12" s="3"/>
      <c r="G12" s="3"/>
      <c r="H12" s="3"/>
      <c r="I12" s="3"/>
    </row>
    <row r="13" spans="1:9" x14ac:dyDescent="0.35">
      <c r="A13" t="s">
        <v>159</v>
      </c>
      <c r="B13" t="s">
        <v>160</v>
      </c>
      <c r="C13">
        <v>19.673999999999999</v>
      </c>
      <c r="D13" t="s">
        <v>161</v>
      </c>
      <c r="E13">
        <v>19.673999999999999</v>
      </c>
      <c r="F13">
        <v>10</v>
      </c>
      <c r="G13">
        <v>30</v>
      </c>
      <c r="H13" t="s">
        <v>162</v>
      </c>
      <c r="I13" t="s">
        <v>14</v>
      </c>
    </row>
    <row r="14" spans="1:9" x14ac:dyDescent="0.35">
      <c r="A14" t="s">
        <v>163</v>
      </c>
      <c r="B14" t="s">
        <v>164</v>
      </c>
      <c r="C14">
        <v>56</v>
      </c>
      <c r="D14" t="s">
        <v>165</v>
      </c>
      <c r="E14">
        <v>56</v>
      </c>
      <c r="F14">
        <v>30</v>
      </c>
      <c r="G14">
        <v>100</v>
      </c>
      <c r="H14" t="s">
        <v>166</v>
      </c>
      <c r="I14" t="s">
        <v>14</v>
      </c>
    </row>
    <row r="15" spans="1:9" x14ac:dyDescent="0.35">
      <c r="A15" t="s">
        <v>167</v>
      </c>
      <c r="B15" t="s">
        <v>168</v>
      </c>
      <c r="C15">
        <v>58.24</v>
      </c>
      <c r="D15" t="s">
        <v>165</v>
      </c>
      <c r="E15">
        <v>58.24</v>
      </c>
      <c r="F15" t="s">
        <v>51</v>
      </c>
      <c r="G15" t="s">
        <v>51</v>
      </c>
      <c r="H15" t="s">
        <v>119</v>
      </c>
      <c r="I15" t="s">
        <v>14</v>
      </c>
    </row>
    <row r="16" spans="1:9" x14ac:dyDescent="0.35">
      <c r="A16" t="s">
        <v>169</v>
      </c>
      <c r="B16" t="s">
        <v>170</v>
      </c>
      <c r="C16">
        <v>57.08</v>
      </c>
      <c r="D16" t="s">
        <v>165</v>
      </c>
      <c r="E16">
        <v>57.08</v>
      </c>
      <c r="F16" t="s">
        <v>51</v>
      </c>
      <c r="G16" t="s">
        <v>51</v>
      </c>
      <c r="H16" t="s">
        <v>122</v>
      </c>
      <c r="I16" t="s">
        <v>14</v>
      </c>
    </row>
    <row r="17" spans="1:9" x14ac:dyDescent="0.35">
      <c r="A17" t="s">
        <v>171</v>
      </c>
      <c r="B17" t="s">
        <v>172</v>
      </c>
      <c r="C17">
        <v>22.37</v>
      </c>
      <c r="D17" t="s">
        <v>132</v>
      </c>
      <c r="E17">
        <v>22.37</v>
      </c>
      <c r="F17">
        <v>15</v>
      </c>
      <c r="G17">
        <v>40</v>
      </c>
      <c r="H17" t="s">
        <v>173</v>
      </c>
      <c r="I17" t="s">
        <v>14</v>
      </c>
    </row>
    <row r="18" spans="1:9" x14ac:dyDescent="0.35">
      <c r="A18" t="s">
        <v>174</v>
      </c>
      <c r="B18" t="s">
        <v>175</v>
      </c>
      <c r="C18">
        <v>25.36</v>
      </c>
      <c r="D18" t="s">
        <v>132</v>
      </c>
      <c r="E18">
        <v>25.36</v>
      </c>
      <c r="F18" t="s">
        <v>51</v>
      </c>
      <c r="G18" t="s">
        <v>51</v>
      </c>
      <c r="H18" t="s">
        <v>119</v>
      </c>
      <c r="I18" t="s">
        <v>14</v>
      </c>
    </row>
    <row r="19" spans="1:9" x14ac:dyDescent="0.35">
      <c r="A19" t="s">
        <v>176</v>
      </c>
      <c r="B19" t="s">
        <v>177</v>
      </c>
      <c r="C19">
        <v>3378</v>
      </c>
      <c r="D19" t="s">
        <v>56</v>
      </c>
      <c r="E19">
        <v>3378</v>
      </c>
      <c r="F19" t="s">
        <v>51</v>
      </c>
      <c r="G19" t="s">
        <v>51</v>
      </c>
      <c r="H19" t="s">
        <v>178</v>
      </c>
      <c r="I19" t="s">
        <v>14</v>
      </c>
    </row>
    <row r="20" spans="1:9" x14ac:dyDescent="0.35">
      <c r="A20" t="s">
        <v>179</v>
      </c>
      <c r="B20" t="s">
        <v>180</v>
      </c>
      <c r="C20">
        <v>3447</v>
      </c>
      <c r="D20" t="s">
        <v>56</v>
      </c>
      <c r="E20">
        <v>3447</v>
      </c>
      <c r="F20" t="s">
        <v>51</v>
      </c>
      <c r="G20" t="s">
        <v>51</v>
      </c>
      <c r="H20" t="s">
        <v>178</v>
      </c>
      <c r="I20" t="s">
        <v>14</v>
      </c>
    </row>
    <row r="22" spans="1:9" x14ac:dyDescent="0.35">
      <c r="A22" s="2" t="s">
        <v>181</v>
      </c>
      <c r="B22" s="3"/>
      <c r="C22" s="3"/>
      <c r="D22" s="3"/>
      <c r="E22" s="3"/>
      <c r="F22" s="3"/>
      <c r="G22" s="3"/>
      <c r="H22" s="3"/>
      <c r="I22" s="3"/>
    </row>
    <row r="23" spans="1:9" x14ac:dyDescent="0.35">
      <c r="A23" t="s">
        <v>182</v>
      </c>
      <c r="B23" t="s">
        <v>183</v>
      </c>
      <c r="C23" t="s">
        <v>184</v>
      </c>
      <c r="D23" t="s">
        <v>51</v>
      </c>
      <c r="E23" t="s">
        <v>184</v>
      </c>
      <c r="F23" t="s">
        <v>51</v>
      </c>
      <c r="G23" t="s">
        <v>51</v>
      </c>
      <c r="H23" t="s">
        <v>185</v>
      </c>
      <c r="I23" t="s">
        <v>186</v>
      </c>
    </row>
    <row r="24" spans="1:9" x14ac:dyDescent="0.35">
      <c r="A24" t="s">
        <v>187</v>
      </c>
      <c r="B24" t="s">
        <v>188</v>
      </c>
      <c r="C24">
        <v>12</v>
      </c>
      <c r="D24" t="s">
        <v>165</v>
      </c>
      <c r="E24">
        <v>12</v>
      </c>
      <c r="F24">
        <v>8</v>
      </c>
      <c r="G24">
        <v>20</v>
      </c>
      <c r="H24" t="s">
        <v>189</v>
      </c>
      <c r="I24" t="s">
        <v>14</v>
      </c>
    </row>
    <row r="25" spans="1:9" x14ac:dyDescent="0.35">
      <c r="A25" t="s">
        <v>190</v>
      </c>
      <c r="B25" t="s">
        <v>191</v>
      </c>
      <c r="C25">
        <v>76</v>
      </c>
      <c r="D25" t="s">
        <v>12</v>
      </c>
      <c r="E25">
        <v>76</v>
      </c>
      <c r="F25" t="s">
        <v>51</v>
      </c>
      <c r="G25" t="s">
        <v>51</v>
      </c>
      <c r="H25" t="s">
        <v>192</v>
      </c>
      <c r="I25" t="s">
        <v>193</v>
      </c>
    </row>
    <row r="26" spans="1:9" x14ac:dyDescent="0.35">
      <c r="A26" t="s">
        <v>194</v>
      </c>
      <c r="B26" t="s">
        <v>195</v>
      </c>
      <c r="C26">
        <v>253.7</v>
      </c>
      <c r="D26" t="s">
        <v>12</v>
      </c>
      <c r="E26">
        <v>253.7</v>
      </c>
      <c r="F26" t="s">
        <v>51</v>
      </c>
      <c r="G26" t="s">
        <v>51</v>
      </c>
      <c r="H26" t="s">
        <v>196</v>
      </c>
      <c r="I26" t="s">
        <v>193</v>
      </c>
    </row>
    <row r="28" spans="1:9" x14ac:dyDescent="0.35">
      <c r="A28" s="2" t="s">
        <v>197</v>
      </c>
      <c r="B28" s="3"/>
      <c r="C28" s="3"/>
      <c r="D28" s="3"/>
      <c r="E28" s="3"/>
      <c r="F28" s="3"/>
      <c r="G28" s="3"/>
      <c r="H28" s="3"/>
      <c r="I28" s="3"/>
    </row>
    <row r="29" spans="1:9" x14ac:dyDescent="0.35">
      <c r="A29" t="s">
        <v>198</v>
      </c>
      <c r="B29" t="s">
        <v>199</v>
      </c>
      <c r="C29">
        <v>193.81399999999999</v>
      </c>
      <c r="D29" t="s">
        <v>200</v>
      </c>
      <c r="E29">
        <v>193.81399999999999</v>
      </c>
      <c r="F29">
        <v>140</v>
      </c>
      <c r="G29">
        <v>220</v>
      </c>
      <c r="H29" t="s">
        <v>201</v>
      </c>
      <c r="I29" t="s">
        <v>14</v>
      </c>
    </row>
    <row r="30" spans="1:9" x14ac:dyDescent="0.35">
      <c r="A30" t="s">
        <v>202</v>
      </c>
      <c r="B30" t="s">
        <v>203</v>
      </c>
      <c r="C30">
        <v>210</v>
      </c>
      <c r="D30" t="s">
        <v>200</v>
      </c>
      <c r="E30">
        <v>210</v>
      </c>
      <c r="F30" t="s">
        <v>51</v>
      </c>
      <c r="G30" t="s">
        <v>51</v>
      </c>
      <c r="H30" t="s">
        <v>204</v>
      </c>
      <c r="I30" t="s">
        <v>205</v>
      </c>
    </row>
    <row r="31" spans="1:9" x14ac:dyDescent="0.35">
      <c r="A31" t="s">
        <v>206</v>
      </c>
      <c r="B31" t="s">
        <v>207</v>
      </c>
      <c r="C31">
        <v>3.7</v>
      </c>
      <c r="D31" t="s">
        <v>208</v>
      </c>
      <c r="E31">
        <v>3.7</v>
      </c>
      <c r="F31">
        <v>3.2</v>
      </c>
      <c r="G31">
        <v>4.3</v>
      </c>
      <c r="H31" t="s">
        <v>209</v>
      </c>
      <c r="I31" t="s">
        <v>14</v>
      </c>
    </row>
    <row r="33" spans="1:9" x14ac:dyDescent="0.35">
      <c r="A33" s="2" t="s">
        <v>210</v>
      </c>
      <c r="B33" s="3"/>
      <c r="C33" s="3"/>
      <c r="D33" s="3"/>
      <c r="E33" s="3"/>
      <c r="F33" s="3"/>
      <c r="G33" s="3"/>
      <c r="H33" s="3"/>
      <c r="I33" s="3"/>
    </row>
    <row r="34" spans="1:9" x14ac:dyDescent="0.35">
      <c r="A34" t="s">
        <v>211</v>
      </c>
      <c r="B34" t="s">
        <v>212</v>
      </c>
      <c r="C34">
        <v>96.694000000000003</v>
      </c>
      <c r="D34" t="s">
        <v>213</v>
      </c>
      <c r="E34">
        <v>96.694000000000003</v>
      </c>
      <c r="F34">
        <v>90</v>
      </c>
      <c r="G34">
        <v>98</v>
      </c>
      <c r="H34" t="s">
        <v>214</v>
      </c>
      <c r="I34" t="s">
        <v>14</v>
      </c>
    </row>
    <row r="35" spans="1:9" x14ac:dyDescent="0.35">
      <c r="A35" t="s">
        <v>215</v>
      </c>
      <c r="B35" t="s">
        <v>216</v>
      </c>
      <c r="C35">
        <v>1.8029999999999999</v>
      </c>
      <c r="D35" t="s">
        <v>213</v>
      </c>
      <c r="E35">
        <v>1.8029999999999999</v>
      </c>
      <c r="F35">
        <v>1</v>
      </c>
      <c r="G35">
        <v>5</v>
      </c>
      <c r="H35" t="s">
        <v>217</v>
      </c>
      <c r="I35" t="s">
        <v>14</v>
      </c>
    </row>
    <row r="36" spans="1:9" x14ac:dyDescent="0.35">
      <c r="A36" t="s">
        <v>218</v>
      </c>
      <c r="B36" t="s">
        <v>219</v>
      </c>
      <c r="C36">
        <v>1.5029999999999999</v>
      </c>
      <c r="D36" t="s">
        <v>213</v>
      </c>
      <c r="E36">
        <v>1.5029999999999999</v>
      </c>
      <c r="F36">
        <v>1</v>
      </c>
      <c r="G36">
        <v>5</v>
      </c>
      <c r="H36" t="s">
        <v>220</v>
      </c>
      <c r="I36" t="s">
        <v>14</v>
      </c>
    </row>
    <row r="38" spans="1:9" x14ac:dyDescent="0.35">
      <c r="A38" s="2" t="s">
        <v>221</v>
      </c>
      <c r="B38" s="3"/>
      <c r="C38" s="3"/>
      <c r="D38" s="3"/>
      <c r="E38" s="3"/>
      <c r="F38" s="3"/>
      <c r="G38" s="3"/>
      <c r="H38" s="3"/>
      <c r="I38" s="3"/>
    </row>
    <row r="39" spans="1:9" x14ac:dyDescent="0.35">
      <c r="A39" t="s">
        <v>222</v>
      </c>
      <c r="B39" t="s">
        <v>223</v>
      </c>
      <c r="C39">
        <v>4</v>
      </c>
      <c r="D39" t="s">
        <v>132</v>
      </c>
      <c r="E39">
        <v>4</v>
      </c>
      <c r="F39">
        <v>0</v>
      </c>
      <c r="G39">
        <v>10</v>
      </c>
      <c r="H39" t="s">
        <v>224</v>
      </c>
      <c r="I39" t="s">
        <v>14</v>
      </c>
    </row>
    <row r="40" spans="1:9" x14ac:dyDescent="0.35">
      <c r="A40" t="s">
        <v>225</v>
      </c>
      <c r="B40" t="s">
        <v>226</v>
      </c>
      <c r="C40">
        <v>-2</v>
      </c>
      <c r="D40" t="s">
        <v>132</v>
      </c>
      <c r="E40">
        <v>-2</v>
      </c>
      <c r="F40">
        <v>-5</v>
      </c>
      <c r="G40">
        <v>5</v>
      </c>
      <c r="H40" t="s">
        <v>227</v>
      </c>
      <c r="I40" t="s">
        <v>14</v>
      </c>
    </row>
  </sheetData>
  <mergeCells count="7">
    <mergeCell ref="A38:I38"/>
    <mergeCell ref="A7:I7"/>
    <mergeCell ref="A2:I2"/>
    <mergeCell ref="A33:I33"/>
    <mergeCell ref="A28:I28"/>
    <mergeCell ref="A22:I22"/>
    <mergeCell ref="A12:I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5"/>
  <sheetViews>
    <sheetView workbookViewId="0"/>
  </sheetViews>
  <sheetFormatPr defaultRowHeight="14.5" x14ac:dyDescent="0.35"/>
  <cols>
    <col min="1" max="1" width="35" customWidth="1"/>
    <col min="2" max="2" width="12" customWidth="1"/>
    <col min="3" max="3" width="15" customWidth="1"/>
    <col min="4" max="4" width="12" customWidth="1"/>
    <col min="5" max="5" width="15" customWidth="1"/>
    <col min="6" max="7" width="10" customWidth="1"/>
    <col min="8" max="8" width="50" customWidth="1"/>
    <col min="9" max="9" width="3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134</v>
      </c>
      <c r="B2" s="3"/>
      <c r="C2" s="3"/>
      <c r="D2" s="3"/>
      <c r="E2" s="3"/>
      <c r="F2" s="3"/>
      <c r="G2" s="3"/>
      <c r="H2" s="3"/>
      <c r="I2" s="3"/>
    </row>
    <row r="3" spans="1:9" x14ac:dyDescent="0.35">
      <c r="A3" t="s">
        <v>228</v>
      </c>
      <c r="B3" t="s">
        <v>229</v>
      </c>
      <c r="C3" t="s">
        <v>230</v>
      </c>
      <c r="D3" t="s">
        <v>51</v>
      </c>
      <c r="E3" t="s">
        <v>230</v>
      </c>
      <c r="F3" t="s">
        <v>51</v>
      </c>
      <c r="G3" t="s">
        <v>51</v>
      </c>
      <c r="H3" t="s">
        <v>138</v>
      </c>
      <c r="I3" t="s">
        <v>14</v>
      </c>
    </row>
    <row r="4" spans="1:9" x14ac:dyDescent="0.35">
      <c r="A4" t="s">
        <v>231</v>
      </c>
      <c r="B4" t="s">
        <v>232</v>
      </c>
      <c r="C4" t="s">
        <v>233</v>
      </c>
      <c r="D4" t="s">
        <v>51</v>
      </c>
      <c r="E4" t="s">
        <v>233</v>
      </c>
      <c r="F4" t="s">
        <v>51</v>
      </c>
      <c r="G4" t="s">
        <v>51</v>
      </c>
      <c r="H4" t="s">
        <v>234</v>
      </c>
      <c r="I4" t="s">
        <v>14</v>
      </c>
    </row>
    <row r="5" spans="1:9" x14ac:dyDescent="0.35">
      <c r="A5" t="s">
        <v>235</v>
      </c>
      <c r="B5" t="s">
        <v>236</v>
      </c>
      <c r="C5">
        <v>7.5</v>
      </c>
      <c r="D5" t="s">
        <v>213</v>
      </c>
      <c r="E5">
        <v>7.5</v>
      </c>
      <c r="F5">
        <v>0</v>
      </c>
      <c r="G5">
        <v>20</v>
      </c>
      <c r="H5" t="s">
        <v>237</v>
      </c>
      <c r="I5" t="s">
        <v>14</v>
      </c>
    </row>
    <row r="7" spans="1:9" x14ac:dyDescent="0.35">
      <c r="A7" s="2" t="s">
        <v>147</v>
      </c>
      <c r="B7" s="3"/>
      <c r="C7" s="3"/>
      <c r="D7" s="3"/>
      <c r="E7" s="3"/>
      <c r="F7" s="3"/>
      <c r="G7" s="3"/>
      <c r="H7" s="3"/>
      <c r="I7" s="3"/>
    </row>
    <row r="8" spans="1:9" x14ac:dyDescent="0.35">
      <c r="A8" t="s">
        <v>238</v>
      </c>
      <c r="B8" t="s">
        <v>239</v>
      </c>
      <c r="C8">
        <v>78</v>
      </c>
      <c r="D8" t="s">
        <v>12</v>
      </c>
      <c r="E8">
        <v>78</v>
      </c>
      <c r="F8">
        <v>50</v>
      </c>
      <c r="G8">
        <v>160</v>
      </c>
      <c r="H8" t="s">
        <v>150</v>
      </c>
      <c r="I8" t="s">
        <v>14</v>
      </c>
    </row>
    <row r="9" spans="1:9" x14ac:dyDescent="0.35">
      <c r="A9" t="s">
        <v>240</v>
      </c>
      <c r="B9" t="s">
        <v>241</v>
      </c>
      <c r="C9">
        <v>255.7</v>
      </c>
      <c r="D9" t="s">
        <v>12</v>
      </c>
      <c r="E9">
        <v>255.7</v>
      </c>
      <c r="F9">
        <v>100</v>
      </c>
      <c r="G9">
        <v>360</v>
      </c>
      <c r="H9" t="s">
        <v>153</v>
      </c>
      <c r="I9" t="s">
        <v>14</v>
      </c>
    </row>
    <row r="10" spans="1:9" x14ac:dyDescent="0.35">
      <c r="A10" t="s">
        <v>242</v>
      </c>
      <c r="B10" t="s">
        <v>243</v>
      </c>
      <c r="C10">
        <v>199.45</v>
      </c>
      <c r="D10" t="s">
        <v>156</v>
      </c>
      <c r="E10">
        <v>199.45</v>
      </c>
      <c r="F10" t="s">
        <v>51</v>
      </c>
      <c r="G10" t="s">
        <v>51</v>
      </c>
      <c r="H10" t="s">
        <v>244</v>
      </c>
      <c r="I10" t="s">
        <v>63</v>
      </c>
    </row>
    <row r="11" spans="1:9" x14ac:dyDescent="0.35">
      <c r="A11" t="s">
        <v>245</v>
      </c>
      <c r="B11" t="s">
        <v>246</v>
      </c>
      <c r="C11">
        <v>2</v>
      </c>
      <c r="D11" t="s">
        <v>12</v>
      </c>
      <c r="E11">
        <v>2</v>
      </c>
      <c r="F11">
        <v>0.5</v>
      </c>
      <c r="G11">
        <v>5</v>
      </c>
      <c r="H11" t="s">
        <v>247</v>
      </c>
      <c r="I11" t="s">
        <v>14</v>
      </c>
    </row>
    <row r="13" spans="1:9" x14ac:dyDescent="0.35">
      <c r="A13" s="2" t="s">
        <v>158</v>
      </c>
      <c r="B13" s="3"/>
      <c r="C13" s="3"/>
      <c r="D13" s="3"/>
      <c r="E13" s="3"/>
      <c r="F13" s="3"/>
      <c r="G13" s="3"/>
      <c r="H13" s="3"/>
      <c r="I13" s="3"/>
    </row>
    <row r="14" spans="1:9" x14ac:dyDescent="0.35">
      <c r="A14" t="s">
        <v>159</v>
      </c>
      <c r="B14" t="s">
        <v>248</v>
      </c>
      <c r="C14">
        <v>11.478</v>
      </c>
      <c r="D14" t="s">
        <v>161</v>
      </c>
      <c r="E14">
        <v>11.478</v>
      </c>
      <c r="F14">
        <v>5</v>
      </c>
      <c r="G14">
        <v>20</v>
      </c>
      <c r="H14" t="s">
        <v>162</v>
      </c>
      <c r="I14" t="s">
        <v>14</v>
      </c>
    </row>
    <row r="15" spans="1:9" x14ac:dyDescent="0.35">
      <c r="A15" t="s">
        <v>163</v>
      </c>
      <c r="B15" t="s">
        <v>249</v>
      </c>
      <c r="C15">
        <v>77</v>
      </c>
      <c r="D15" t="s">
        <v>165</v>
      </c>
      <c r="E15">
        <v>77</v>
      </c>
      <c r="F15">
        <v>40</v>
      </c>
      <c r="G15">
        <v>150</v>
      </c>
      <c r="H15" t="s">
        <v>166</v>
      </c>
      <c r="I15" t="s">
        <v>14</v>
      </c>
    </row>
    <row r="16" spans="1:9" x14ac:dyDescent="0.35">
      <c r="A16" t="s">
        <v>167</v>
      </c>
      <c r="B16" t="s">
        <v>250</v>
      </c>
      <c r="C16">
        <v>85.47</v>
      </c>
      <c r="D16" t="s">
        <v>165</v>
      </c>
      <c r="E16">
        <v>85.47</v>
      </c>
      <c r="F16" t="s">
        <v>51</v>
      </c>
      <c r="G16" t="s">
        <v>51</v>
      </c>
      <c r="H16" t="s">
        <v>119</v>
      </c>
      <c r="I16" t="s">
        <v>14</v>
      </c>
    </row>
    <row r="17" spans="1:9" x14ac:dyDescent="0.35">
      <c r="A17" t="s">
        <v>169</v>
      </c>
      <c r="B17" t="s">
        <v>251</v>
      </c>
      <c r="C17">
        <v>92.31</v>
      </c>
      <c r="D17" t="s">
        <v>165</v>
      </c>
      <c r="E17">
        <v>92.31</v>
      </c>
      <c r="F17" t="s">
        <v>51</v>
      </c>
      <c r="G17" t="s">
        <v>51</v>
      </c>
      <c r="H17" t="s">
        <v>122</v>
      </c>
      <c r="I17" t="s">
        <v>14</v>
      </c>
    </row>
    <row r="18" spans="1:9" x14ac:dyDescent="0.35">
      <c r="A18" t="s">
        <v>171</v>
      </c>
      <c r="B18" t="s">
        <v>252</v>
      </c>
      <c r="C18">
        <v>31.19</v>
      </c>
      <c r="D18" t="s">
        <v>132</v>
      </c>
      <c r="E18">
        <v>31.19</v>
      </c>
      <c r="F18">
        <v>20</v>
      </c>
      <c r="G18">
        <v>45</v>
      </c>
      <c r="H18" t="s">
        <v>173</v>
      </c>
      <c r="I18" t="s">
        <v>14</v>
      </c>
    </row>
    <row r="19" spans="1:9" x14ac:dyDescent="0.35">
      <c r="A19" t="s">
        <v>174</v>
      </c>
      <c r="B19" t="s">
        <v>253</v>
      </c>
      <c r="C19">
        <v>38.01</v>
      </c>
      <c r="D19" t="s">
        <v>132</v>
      </c>
      <c r="E19">
        <v>38.01</v>
      </c>
      <c r="F19" t="s">
        <v>51</v>
      </c>
      <c r="G19" t="s">
        <v>51</v>
      </c>
      <c r="H19" t="s">
        <v>119</v>
      </c>
      <c r="I19" t="s">
        <v>14</v>
      </c>
    </row>
    <row r="20" spans="1:9" x14ac:dyDescent="0.35">
      <c r="A20" t="s">
        <v>176</v>
      </c>
      <c r="B20" t="s">
        <v>254</v>
      </c>
      <c r="C20">
        <v>1343</v>
      </c>
      <c r="D20" t="s">
        <v>56</v>
      </c>
      <c r="E20">
        <v>1343</v>
      </c>
      <c r="F20" t="s">
        <v>51</v>
      </c>
      <c r="G20" t="s">
        <v>51</v>
      </c>
      <c r="H20" t="s">
        <v>178</v>
      </c>
      <c r="I20" t="s">
        <v>14</v>
      </c>
    </row>
    <row r="21" spans="1:9" x14ac:dyDescent="0.35">
      <c r="A21" t="s">
        <v>179</v>
      </c>
      <c r="B21" t="s">
        <v>255</v>
      </c>
      <c r="C21">
        <v>1244</v>
      </c>
      <c r="D21" t="s">
        <v>56</v>
      </c>
      <c r="E21">
        <v>1244</v>
      </c>
      <c r="F21" t="s">
        <v>51</v>
      </c>
      <c r="G21" t="s">
        <v>51</v>
      </c>
      <c r="H21" t="s">
        <v>178</v>
      </c>
      <c r="I21" t="s">
        <v>14</v>
      </c>
    </row>
    <row r="23" spans="1:9" x14ac:dyDescent="0.35">
      <c r="A23" s="2" t="s">
        <v>181</v>
      </c>
      <c r="B23" s="3"/>
      <c r="C23" s="3"/>
      <c r="D23" s="3"/>
      <c r="E23" s="3"/>
      <c r="F23" s="3"/>
      <c r="G23" s="3"/>
      <c r="H23" s="3"/>
      <c r="I23" s="3"/>
    </row>
    <row r="24" spans="1:9" x14ac:dyDescent="0.35">
      <c r="A24" t="s">
        <v>182</v>
      </c>
      <c r="B24" t="s">
        <v>256</v>
      </c>
      <c r="C24" t="s">
        <v>257</v>
      </c>
      <c r="D24" t="s">
        <v>51</v>
      </c>
      <c r="E24" t="s">
        <v>257</v>
      </c>
      <c r="F24" t="s">
        <v>51</v>
      </c>
      <c r="G24" t="s">
        <v>51</v>
      </c>
      <c r="H24" t="s">
        <v>185</v>
      </c>
      <c r="I24" t="s">
        <v>186</v>
      </c>
    </row>
    <row r="25" spans="1:9" x14ac:dyDescent="0.35">
      <c r="A25" t="s">
        <v>187</v>
      </c>
      <c r="B25" t="s">
        <v>258</v>
      </c>
      <c r="C25">
        <v>6</v>
      </c>
      <c r="D25" t="s">
        <v>165</v>
      </c>
      <c r="E25">
        <v>6</v>
      </c>
      <c r="F25">
        <v>4</v>
      </c>
      <c r="G25">
        <v>12</v>
      </c>
      <c r="H25" t="s">
        <v>189</v>
      </c>
      <c r="I25" t="s">
        <v>14</v>
      </c>
    </row>
    <row r="26" spans="1:9" x14ac:dyDescent="0.35">
      <c r="A26" t="s">
        <v>190</v>
      </c>
      <c r="B26" t="s">
        <v>259</v>
      </c>
      <c r="C26">
        <v>80</v>
      </c>
      <c r="D26" t="s">
        <v>12</v>
      </c>
      <c r="E26">
        <v>80</v>
      </c>
      <c r="F26" t="s">
        <v>51</v>
      </c>
      <c r="G26" t="s">
        <v>51</v>
      </c>
      <c r="H26" t="s">
        <v>260</v>
      </c>
      <c r="I26" t="s">
        <v>193</v>
      </c>
    </row>
    <row r="27" spans="1:9" x14ac:dyDescent="0.35">
      <c r="A27" t="s">
        <v>194</v>
      </c>
      <c r="B27" t="s">
        <v>261</v>
      </c>
      <c r="C27">
        <v>257.7</v>
      </c>
      <c r="D27" t="s">
        <v>12</v>
      </c>
      <c r="E27">
        <v>257.7</v>
      </c>
      <c r="F27" t="s">
        <v>51</v>
      </c>
      <c r="G27" t="s">
        <v>51</v>
      </c>
      <c r="H27" t="s">
        <v>262</v>
      </c>
      <c r="I27" t="s">
        <v>193</v>
      </c>
    </row>
    <row r="29" spans="1:9" x14ac:dyDescent="0.35">
      <c r="A29" s="2" t="s">
        <v>197</v>
      </c>
      <c r="B29" s="3"/>
      <c r="C29" s="3"/>
      <c r="D29" s="3"/>
      <c r="E29" s="3"/>
      <c r="F29" s="3"/>
      <c r="G29" s="3"/>
      <c r="H29" s="3"/>
      <c r="I29" s="3"/>
    </row>
    <row r="30" spans="1:9" x14ac:dyDescent="0.35">
      <c r="A30" t="s">
        <v>198</v>
      </c>
      <c r="B30" t="s">
        <v>263</v>
      </c>
      <c r="C30">
        <v>331.161</v>
      </c>
      <c r="D30" t="s">
        <v>200</v>
      </c>
      <c r="E30">
        <v>331.161</v>
      </c>
      <c r="F30">
        <v>300</v>
      </c>
      <c r="G30">
        <v>500</v>
      </c>
      <c r="H30" t="s">
        <v>201</v>
      </c>
      <c r="I30" t="s">
        <v>14</v>
      </c>
    </row>
    <row r="31" spans="1:9" x14ac:dyDescent="0.35">
      <c r="A31" t="s">
        <v>202</v>
      </c>
      <c r="B31" t="s">
        <v>264</v>
      </c>
      <c r="C31">
        <v>372</v>
      </c>
      <c r="D31" t="s">
        <v>200</v>
      </c>
      <c r="E31">
        <v>372</v>
      </c>
      <c r="F31" t="s">
        <v>51</v>
      </c>
      <c r="G31" t="s">
        <v>51</v>
      </c>
      <c r="H31" t="s">
        <v>204</v>
      </c>
      <c r="I31" t="s">
        <v>205</v>
      </c>
    </row>
    <row r="32" spans="1:9" x14ac:dyDescent="0.35">
      <c r="A32" t="s">
        <v>265</v>
      </c>
      <c r="B32" t="s">
        <v>266</v>
      </c>
      <c r="C32">
        <v>1.2250000000000001</v>
      </c>
      <c r="D32" t="s">
        <v>51</v>
      </c>
      <c r="E32">
        <v>1.2250000000000001</v>
      </c>
      <c r="F32">
        <v>1.05</v>
      </c>
      <c r="G32">
        <v>1.5</v>
      </c>
      <c r="H32" t="s">
        <v>267</v>
      </c>
      <c r="I32" t="s">
        <v>14</v>
      </c>
    </row>
    <row r="33" spans="1:9" x14ac:dyDescent="0.35">
      <c r="A33" t="s">
        <v>268</v>
      </c>
      <c r="B33" t="s">
        <v>269</v>
      </c>
      <c r="C33">
        <v>81.47</v>
      </c>
      <c r="D33" t="s">
        <v>132</v>
      </c>
      <c r="E33">
        <v>81.47</v>
      </c>
      <c r="F33" t="s">
        <v>51</v>
      </c>
      <c r="G33" t="s">
        <v>51</v>
      </c>
      <c r="H33" t="s">
        <v>270</v>
      </c>
      <c r="I33" t="s">
        <v>14</v>
      </c>
    </row>
    <row r="35" spans="1:9" x14ac:dyDescent="0.35">
      <c r="A35" s="2" t="s">
        <v>210</v>
      </c>
      <c r="B35" s="3"/>
      <c r="C35" s="3"/>
      <c r="D35" s="3"/>
      <c r="E35" s="3"/>
      <c r="F35" s="3"/>
      <c r="G35" s="3"/>
      <c r="H35" s="3"/>
      <c r="I35" s="3"/>
    </row>
    <row r="36" spans="1:9" x14ac:dyDescent="0.35">
      <c r="A36" t="s">
        <v>271</v>
      </c>
      <c r="B36" t="s">
        <v>272</v>
      </c>
      <c r="C36">
        <v>62.65</v>
      </c>
      <c r="D36" t="s">
        <v>213</v>
      </c>
      <c r="E36">
        <v>62.65</v>
      </c>
      <c r="F36">
        <v>0</v>
      </c>
      <c r="G36">
        <v>100</v>
      </c>
      <c r="H36" t="s">
        <v>273</v>
      </c>
      <c r="I36" t="s">
        <v>14</v>
      </c>
    </row>
    <row r="37" spans="1:9" x14ac:dyDescent="0.35">
      <c r="A37" t="s">
        <v>274</v>
      </c>
      <c r="B37" t="s">
        <v>275</v>
      </c>
      <c r="C37">
        <v>26.85</v>
      </c>
      <c r="D37" t="s">
        <v>213</v>
      </c>
      <c r="E37">
        <v>26.85</v>
      </c>
      <c r="F37">
        <v>0</v>
      </c>
      <c r="G37">
        <v>100</v>
      </c>
      <c r="H37" t="s">
        <v>276</v>
      </c>
      <c r="I37" t="s">
        <v>14</v>
      </c>
    </row>
    <row r="38" spans="1:9" x14ac:dyDescent="0.35">
      <c r="A38" t="s">
        <v>277</v>
      </c>
      <c r="B38" t="s">
        <v>278</v>
      </c>
      <c r="C38">
        <v>7.5</v>
      </c>
      <c r="D38" t="s">
        <v>213</v>
      </c>
      <c r="E38">
        <v>7.5</v>
      </c>
      <c r="F38">
        <v>0</v>
      </c>
      <c r="G38">
        <v>20</v>
      </c>
      <c r="H38" t="s">
        <v>279</v>
      </c>
      <c r="I38" t="s">
        <v>14</v>
      </c>
    </row>
    <row r="39" spans="1:9" x14ac:dyDescent="0.35">
      <c r="A39" t="s">
        <v>280</v>
      </c>
      <c r="B39" t="s">
        <v>281</v>
      </c>
      <c r="C39">
        <v>1.75</v>
      </c>
      <c r="D39" t="s">
        <v>213</v>
      </c>
      <c r="E39">
        <v>1.75</v>
      </c>
      <c r="F39">
        <v>1</v>
      </c>
      <c r="G39">
        <v>5</v>
      </c>
      <c r="H39" t="s">
        <v>282</v>
      </c>
      <c r="I39" t="s">
        <v>14</v>
      </c>
    </row>
    <row r="40" spans="1:9" x14ac:dyDescent="0.35">
      <c r="A40" t="s">
        <v>283</v>
      </c>
      <c r="B40" t="s">
        <v>284</v>
      </c>
      <c r="C40">
        <v>1.2</v>
      </c>
      <c r="D40" t="s">
        <v>213</v>
      </c>
      <c r="E40">
        <v>1.2</v>
      </c>
      <c r="F40">
        <v>0.5</v>
      </c>
      <c r="G40">
        <v>3</v>
      </c>
      <c r="H40" t="s">
        <v>285</v>
      </c>
      <c r="I40" t="s">
        <v>14</v>
      </c>
    </row>
    <row r="41" spans="1:9" x14ac:dyDescent="0.35">
      <c r="A41" t="s">
        <v>286</v>
      </c>
      <c r="B41" t="s">
        <v>287</v>
      </c>
      <c r="C41">
        <v>0.05</v>
      </c>
      <c r="D41" t="s">
        <v>213</v>
      </c>
      <c r="E41">
        <v>0.05</v>
      </c>
      <c r="F41">
        <v>0</v>
      </c>
      <c r="G41">
        <v>1</v>
      </c>
      <c r="H41" t="s">
        <v>288</v>
      </c>
      <c r="I41" t="s">
        <v>14</v>
      </c>
    </row>
    <row r="43" spans="1:9" x14ac:dyDescent="0.35">
      <c r="A43" s="2" t="s">
        <v>221</v>
      </c>
      <c r="B43" s="3"/>
      <c r="C43" s="3"/>
      <c r="D43" s="3"/>
      <c r="E43" s="3"/>
      <c r="F43" s="3"/>
      <c r="G43" s="3"/>
      <c r="H43" s="3"/>
      <c r="I43" s="3"/>
    </row>
    <row r="44" spans="1:9" x14ac:dyDescent="0.35">
      <c r="A44" t="s">
        <v>222</v>
      </c>
      <c r="B44" t="s">
        <v>289</v>
      </c>
      <c r="C44">
        <v>11</v>
      </c>
      <c r="D44" t="s">
        <v>132</v>
      </c>
      <c r="E44">
        <v>11</v>
      </c>
      <c r="F44">
        <v>5</v>
      </c>
      <c r="G44">
        <v>20</v>
      </c>
      <c r="H44" t="s">
        <v>224</v>
      </c>
      <c r="I44" t="s">
        <v>14</v>
      </c>
    </row>
    <row r="45" spans="1:9" x14ac:dyDescent="0.35">
      <c r="A45" t="s">
        <v>225</v>
      </c>
      <c r="B45" t="s">
        <v>290</v>
      </c>
      <c r="C45">
        <v>8</v>
      </c>
      <c r="D45" t="s">
        <v>132</v>
      </c>
      <c r="E45">
        <v>8</v>
      </c>
      <c r="F45">
        <v>3</v>
      </c>
      <c r="G45">
        <v>15</v>
      </c>
      <c r="H45" t="s">
        <v>227</v>
      </c>
      <c r="I45" t="s">
        <v>14</v>
      </c>
    </row>
  </sheetData>
  <mergeCells count="7">
    <mergeCell ref="A29:I29"/>
    <mergeCell ref="A7:I7"/>
    <mergeCell ref="A43:I43"/>
    <mergeCell ref="A2:I2"/>
    <mergeCell ref="A13:I13"/>
    <mergeCell ref="A23:I23"/>
    <mergeCell ref="A35:I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1"/>
  <sheetViews>
    <sheetView workbookViewId="0"/>
  </sheetViews>
  <sheetFormatPr defaultRowHeight="14.5" x14ac:dyDescent="0.35"/>
  <cols>
    <col min="1" max="1" width="35" customWidth="1"/>
    <col min="2" max="2" width="12" customWidth="1"/>
    <col min="3" max="3" width="15" customWidth="1"/>
    <col min="4" max="4" width="12" customWidth="1"/>
    <col min="5" max="5" width="15" customWidth="1"/>
    <col min="6" max="7" width="10" customWidth="1"/>
    <col min="8" max="8" width="50" customWidth="1"/>
    <col min="9" max="9" width="3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134</v>
      </c>
      <c r="B2" s="3"/>
      <c r="C2" s="3"/>
      <c r="D2" s="3"/>
      <c r="E2" s="3"/>
      <c r="F2" s="3"/>
      <c r="G2" s="3"/>
      <c r="H2" s="3"/>
      <c r="I2" s="3"/>
    </row>
    <row r="3" spans="1:9" x14ac:dyDescent="0.35">
      <c r="A3" t="s">
        <v>291</v>
      </c>
      <c r="B3" t="s">
        <v>292</v>
      </c>
      <c r="C3" t="s">
        <v>293</v>
      </c>
      <c r="D3" t="s">
        <v>51</v>
      </c>
      <c r="E3" t="s">
        <v>293</v>
      </c>
      <c r="F3" t="s">
        <v>51</v>
      </c>
      <c r="G3" t="s">
        <v>51</v>
      </c>
      <c r="H3" t="s">
        <v>294</v>
      </c>
      <c r="I3" t="s">
        <v>14</v>
      </c>
    </row>
    <row r="4" spans="1:9" x14ac:dyDescent="0.35">
      <c r="A4" t="s">
        <v>295</v>
      </c>
      <c r="B4" t="s">
        <v>296</v>
      </c>
      <c r="C4" t="s">
        <v>297</v>
      </c>
      <c r="D4" t="s">
        <v>51</v>
      </c>
      <c r="E4" t="s">
        <v>297</v>
      </c>
      <c r="F4" t="s">
        <v>51</v>
      </c>
      <c r="G4" t="s">
        <v>51</v>
      </c>
      <c r="H4" t="s">
        <v>298</v>
      </c>
      <c r="I4" t="s">
        <v>14</v>
      </c>
    </row>
    <row r="5" spans="1:9" x14ac:dyDescent="0.35">
      <c r="A5" t="s">
        <v>299</v>
      </c>
      <c r="B5" t="s">
        <v>300</v>
      </c>
      <c r="C5" t="s">
        <v>301</v>
      </c>
      <c r="D5" t="s">
        <v>51</v>
      </c>
      <c r="E5" t="s">
        <v>301</v>
      </c>
      <c r="F5" t="s">
        <v>51</v>
      </c>
      <c r="G5" t="s">
        <v>51</v>
      </c>
      <c r="H5" t="s">
        <v>302</v>
      </c>
      <c r="I5" t="s">
        <v>14</v>
      </c>
    </row>
    <row r="7" spans="1:9" x14ac:dyDescent="0.35">
      <c r="A7" s="2" t="s">
        <v>303</v>
      </c>
      <c r="B7" s="3"/>
      <c r="C7" s="3"/>
      <c r="D7" s="3"/>
      <c r="E7" s="3"/>
      <c r="F7" s="3"/>
      <c r="G7" s="3"/>
      <c r="H7" s="3"/>
      <c r="I7" s="3"/>
    </row>
    <row r="8" spans="1:9" x14ac:dyDescent="0.35">
      <c r="A8" t="s">
        <v>304</v>
      </c>
      <c r="B8" t="s">
        <v>305</v>
      </c>
      <c r="C8">
        <v>82</v>
      </c>
      <c r="D8" t="s">
        <v>12</v>
      </c>
      <c r="E8">
        <v>82</v>
      </c>
      <c r="F8" t="s">
        <v>51</v>
      </c>
      <c r="G8" t="s">
        <v>51</v>
      </c>
      <c r="H8" t="s">
        <v>306</v>
      </c>
      <c r="I8" t="s">
        <v>14</v>
      </c>
    </row>
    <row r="9" spans="1:9" x14ac:dyDescent="0.35">
      <c r="A9" t="s">
        <v>307</v>
      </c>
      <c r="B9" t="s">
        <v>308</v>
      </c>
      <c r="C9">
        <v>259.7</v>
      </c>
      <c r="D9" t="s">
        <v>12</v>
      </c>
      <c r="E9">
        <v>259.7</v>
      </c>
      <c r="F9" t="s">
        <v>51</v>
      </c>
      <c r="G9" t="s">
        <v>51</v>
      </c>
      <c r="H9" t="s">
        <v>309</v>
      </c>
      <c r="I9" t="s">
        <v>14</v>
      </c>
    </row>
    <row r="10" spans="1:9" x14ac:dyDescent="0.35">
      <c r="A10" t="s">
        <v>310</v>
      </c>
      <c r="B10" t="s">
        <v>311</v>
      </c>
      <c r="C10">
        <v>212.95</v>
      </c>
      <c r="D10" t="s">
        <v>156</v>
      </c>
      <c r="E10">
        <v>212.95</v>
      </c>
      <c r="F10" t="s">
        <v>51</v>
      </c>
      <c r="G10" t="s">
        <v>51</v>
      </c>
      <c r="H10" t="s">
        <v>312</v>
      </c>
      <c r="I10" t="s">
        <v>63</v>
      </c>
    </row>
    <row r="11" spans="1:9" x14ac:dyDescent="0.35">
      <c r="A11" t="s">
        <v>313</v>
      </c>
      <c r="B11" t="s">
        <v>314</v>
      </c>
      <c r="C11">
        <v>2</v>
      </c>
      <c r="D11" t="s">
        <v>12</v>
      </c>
      <c r="E11">
        <v>2</v>
      </c>
      <c r="F11">
        <v>1</v>
      </c>
      <c r="G11">
        <v>5</v>
      </c>
      <c r="H11" t="s">
        <v>315</v>
      </c>
      <c r="I11" t="s">
        <v>14</v>
      </c>
    </row>
    <row r="13" spans="1:9" x14ac:dyDescent="0.35">
      <c r="A13" s="2" t="s">
        <v>316</v>
      </c>
      <c r="B13" s="3"/>
      <c r="C13" s="3"/>
      <c r="D13" s="3"/>
      <c r="E13" s="3"/>
      <c r="F13" s="3"/>
      <c r="G13" s="3"/>
      <c r="H13" s="3"/>
      <c r="I13" s="3"/>
    </row>
    <row r="14" spans="1:9" x14ac:dyDescent="0.35">
      <c r="A14" t="s">
        <v>317</v>
      </c>
      <c r="B14" t="s">
        <v>318</v>
      </c>
      <c r="C14">
        <v>13</v>
      </c>
      <c r="D14" t="s">
        <v>165</v>
      </c>
      <c r="E14">
        <v>13</v>
      </c>
      <c r="F14">
        <v>9</v>
      </c>
      <c r="G14">
        <v>25</v>
      </c>
      <c r="H14" t="s">
        <v>319</v>
      </c>
      <c r="I14" t="s">
        <v>14</v>
      </c>
    </row>
    <row r="15" spans="1:9" x14ac:dyDescent="0.35">
      <c r="A15" t="s">
        <v>320</v>
      </c>
      <c r="B15" t="s">
        <v>321</v>
      </c>
      <c r="C15">
        <v>9</v>
      </c>
      <c r="D15" t="s">
        <v>165</v>
      </c>
      <c r="E15">
        <v>9</v>
      </c>
      <c r="F15">
        <v>7</v>
      </c>
      <c r="G15">
        <v>20</v>
      </c>
      <c r="H15" t="s">
        <v>322</v>
      </c>
      <c r="I15" t="s">
        <v>14</v>
      </c>
    </row>
    <row r="16" spans="1:9" x14ac:dyDescent="0.35">
      <c r="A16" t="s">
        <v>323</v>
      </c>
      <c r="B16" t="s">
        <v>324</v>
      </c>
      <c r="C16">
        <v>4</v>
      </c>
      <c r="D16" t="s">
        <v>165</v>
      </c>
      <c r="E16">
        <v>4</v>
      </c>
      <c r="F16">
        <v>0</v>
      </c>
      <c r="G16">
        <v>8</v>
      </c>
      <c r="H16" t="s">
        <v>302</v>
      </c>
      <c r="I16" t="s">
        <v>14</v>
      </c>
    </row>
    <row r="17" spans="1:9" x14ac:dyDescent="0.35">
      <c r="A17" t="s">
        <v>325</v>
      </c>
      <c r="B17" t="s">
        <v>326</v>
      </c>
      <c r="C17">
        <v>38</v>
      </c>
      <c r="D17" t="s">
        <v>132</v>
      </c>
      <c r="E17">
        <v>38</v>
      </c>
      <c r="F17">
        <v>30</v>
      </c>
      <c r="G17">
        <v>55</v>
      </c>
      <c r="H17" t="s">
        <v>327</v>
      </c>
      <c r="I17" t="s">
        <v>14</v>
      </c>
    </row>
    <row r="18" spans="1:9" x14ac:dyDescent="0.35">
      <c r="A18" t="s">
        <v>328</v>
      </c>
      <c r="B18" t="s">
        <v>329</v>
      </c>
      <c r="C18">
        <v>53.1</v>
      </c>
      <c r="D18" t="s">
        <v>132</v>
      </c>
      <c r="E18">
        <v>53.1</v>
      </c>
      <c r="F18">
        <v>40</v>
      </c>
      <c r="G18">
        <v>65</v>
      </c>
      <c r="H18" t="s">
        <v>330</v>
      </c>
      <c r="I18" t="s">
        <v>14</v>
      </c>
    </row>
    <row r="19" spans="1:9" x14ac:dyDescent="0.35">
      <c r="A19" t="s">
        <v>331</v>
      </c>
      <c r="B19" t="s">
        <v>332</v>
      </c>
      <c r="C19">
        <v>42.65</v>
      </c>
      <c r="D19" t="s">
        <v>132</v>
      </c>
      <c r="E19">
        <v>42.65</v>
      </c>
      <c r="F19" t="s">
        <v>51</v>
      </c>
      <c r="G19" t="s">
        <v>51</v>
      </c>
      <c r="H19" t="s">
        <v>333</v>
      </c>
      <c r="I19" t="s">
        <v>14</v>
      </c>
    </row>
    <row r="21" spans="1:9" x14ac:dyDescent="0.35">
      <c r="A21" s="2" t="s">
        <v>334</v>
      </c>
      <c r="B21" s="3"/>
      <c r="C21" s="3"/>
      <c r="D21" s="3"/>
      <c r="E21" s="3"/>
      <c r="F21" s="3"/>
      <c r="G21" s="3"/>
      <c r="H21" s="3"/>
      <c r="I21" s="3"/>
    </row>
    <row r="22" spans="1:9" x14ac:dyDescent="0.35">
      <c r="A22" t="s">
        <v>335</v>
      </c>
      <c r="B22" t="s">
        <v>336</v>
      </c>
      <c r="C22">
        <v>1.25</v>
      </c>
      <c r="D22" t="s">
        <v>161</v>
      </c>
      <c r="E22">
        <v>1.25</v>
      </c>
      <c r="F22">
        <v>0.8</v>
      </c>
      <c r="G22">
        <v>3</v>
      </c>
      <c r="H22" t="s">
        <v>337</v>
      </c>
      <c r="I22" t="s">
        <v>14</v>
      </c>
    </row>
    <row r="23" spans="1:9" x14ac:dyDescent="0.35">
      <c r="A23" t="s">
        <v>338</v>
      </c>
      <c r="B23" t="s">
        <v>339</v>
      </c>
      <c r="C23">
        <v>962</v>
      </c>
      <c r="D23" t="s">
        <v>56</v>
      </c>
      <c r="E23">
        <v>962</v>
      </c>
      <c r="F23" t="s">
        <v>51</v>
      </c>
      <c r="G23" t="s">
        <v>51</v>
      </c>
      <c r="H23" t="s">
        <v>340</v>
      </c>
      <c r="I23" t="s">
        <v>14</v>
      </c>
    </row>
    <row r="24" spans="1:9" x14ac:dyDescent="0.35">
      <c r="A24" t="s">
        <v>341</v>
      </c>
      <c r="B24" t="s">
        <v>342</v>
      </c>
      <c r="C24">
        <v>910</v>
      </c>
      <c r="D24" t="s">
        <v>56</v>
      </c>
      <c r="E24">
        <v>910</v>
      </c>
      <c r="F24" t="s">
        <v>51</v>
      </c>
      <c r="G24" t="s">
        <v>51</v>
      </c>
      <c r="H24" t="s">
        <v>343</v>
      </c>
      <c r="I24" t="s">
        <v>205</v>
      </c>
    </row>
    <row r="25" spans="1:9" x14ac:dyDescent="0.35">
      <c r="A25" t="s">
        <v>344</v>
      </c>
      <c r="B25" t="s">
        <v>345</v>
      </c>
      <c r="C25">
        <v>3950</v>
      </c>
      <c r="D25" t="s">
        <v>56</v>
      </c>
      <c r="E25">
        <v>3950</v>
      </c>
      <c r="F25" t="s">
        <v>51</v>
      </c>
      <c r="G25" t="s">
        <v>51</v>
      </c>
      <c r="H25" t="s">
        <v>346</v>
      </c>
      <c r="I25" t="s">
        <v>205</v>
      </c>
    </row>
    <row r="27" spans="1:9" x14ac:dyDescent="0.35">
      <c r="A27" s="2" t="s">
        <v>347</v>
      </c>
      <c r="B27" s="3"/>
      <c r="C27" s="3"/>
      <c r="D27" s="3"/>
      <c r="E27" s="3"/>
      <c r="F27" s="3"/>
      <c r="G27" s="3"/>
      <c r="H27" s="3"/>
      <c r="I27" s="3"/>
    </row>
    <row r="28" spans="1:9" x14ac:dyDescent="0.35">
      <c r="A28" t="s">
        <v>348</v>
      </c>
      <c r="B28" t="s">
        <v>349</v>
      </c>
      <c r="C28">
        <v>200</v>
      </c>
      <c r="D28" t="s">
        <v>350</v>
      </c>
      <c r="E28">
        <v>200</v>
      </c>
      <c r="F28">
        <v>100</v>
      </c>
      <c r="G28">
        <v>400</v>
      </c>
      <c r="H28" t="s">
        <v>351</v>
      </c>
      <c r="I28" t="s">
        <v>352</v>
      </c>
    </row>
    <row r="29" spans="1:9" x14ac:dyDescent="0.35">
      <c r="A29" t="s">
        <v>353</v>
      </c>
      <c r="B29" t="s">
        <v>354</v>
      </c>
      <c r="C29">
        <v>400</v>
      </c>
      <c r="D29" t="s">
        <v>355</v>
      </c>
      <c r="E29">
        <v>400</v>
      </c>
      <c r="F29">
        <v>200</v>
      </c>
      <c r="G29">
        <v>600</v>
      </c>
      <c r="H29" t="s">
        <v>356</v>
      </c>
      <c r="I29" t="s">
        <v>352</v>
      </c>
    </row>
    <row r="30" spans="1:9" x14ac:dyDescent="0.35">
      <c r="A30" t="s">
        <v>357</v>
      </c>
      <c r="B30" t="s">
        <v>358</v>
      </c>
      <c r="C30">
        <v>3</v>
      </c>
      <c r="D30" t="s">
        <v>132</v>
      </c>
      <c r="E30">
        <v>3</v>
      </c>
      <c r="F30">
        <v>0</v>
      </c>
      <c r="G30">
        <v>10</v>
      </c>
      <c r="H30" t="s">
        <v>359</v>
      </c>
      <c r="I30" t="s">
        <v>352</v>
      </c>
    </row>
    <row r="31" spans="1:9" x14ac:dyDescent="0.35">
      <c r="A31" t="s">
        <v>360</v>
      </c>
      <c r="B31" t="s">
        <v>361</v>
      </c>
      <c r="C31">
        <v>2</v>
      </c>
      <c r="D31" t="s">
        <v>132</v>
      </c>
      <c r="E31">
        <v>2</v>
      </c>
      <c r="F31">
        <v>0</v>
      </c>
      <c r="G31">
        <v>10</v>
      </c>
      <c r="H31" t="s">
        <v>362</v>
      </c>
      <c r="I31" t="s">
        <v>352</v>
      </c>
    </row>
  </sheetData>
  <mergeCells count="5">
    <mergeCell ref="A7:I7"/>
    <mergeCell ref="A2:I2"/>
    <mergeCell ref="A13:I13"/>
    <mergeCell ref="A27:I27"/>
    <mergeCell ref="A21:I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3"/>
  <sheetViews>
    <sheetView workbookViewId="0"/>
  </sheetViews>
  <sheetFormatPr defaultRowHeight="14.5" x14ac:dyDescent="0.35"/>
  <cols>
    <col min="1" max="1" width="35" customWidth="1"/>
    <col min="2" max="2" width="12" customWidth="1"/>
    <col min="3" max="3" width="15" customWidth="1"/>
    <col min="4" max="4" width="12" customWidth="1"/>
    <col min="5" max="5" width="15" customWidth="1"/>
    <col min="6" max="7" width="10" customWidth="1"/>
    <col min="8" max="8" width="50" customWidth="1"/>
    <col min="9" max="9" width="3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363</v>
      </c>
      <c r="B2" s="3"/>
      <c r="C2" s="3"/>
      <c r="D2" s="3"/>
      <c r="E2" s="3"/>
      <c r="F2" s="3"/>
      <c r="G2" s="3"/>
      <c r="H2" s="3"/>
      <c r="I2" s="3"/>
    </row>
    <row r="3" spans="1:9" x14ac:dyDescent="0.35">
      <c r="A3" t="s">
        <v>364</v>
      </c>
      <c r="B3" t="s">
        <v>365</v>
      </c>
      <c r="C3" t="s">
        <v>366</v>
      </c>
      <c r="D3" t="s">
        <v>51</v>
      </c>
      <c r="E3" t="s">
        <v>366</v>
      </c>
      <c r="F3" t="s">
        <v>51</v>
      </c>
      <c r="G3" t="s">
        <v>51</v>
      </c>
      <c r="H3" t="s">
        <v>367</v>
      </c>
      <c r="I3" t="s">
        <v>14</v>
      </c>
    </row>
    <row r="4" spans="1:9" x14ac:dyDescent="0.35">
      <c r="A4" t="s">
        <v>368</v>
      </c>
      <c r="B4" t="s">
        <v>369</v>
      </c>
      <c r="C4">
        <v>1.2</v>
      </c>
      <c r="D4" t="s">
        <v>370</v>
      </c>
      <c r="E4">
        <v>1.2</v>
      </c>
      <c r="F4">
        <v>0.8</v>
      </c>
      <c r="G4">
        <v>1.5</v>
      </c>
      <c r="H4" t="s">
        <v>371</v>
      </c>
      <c r="I4" t="s">
        <v>14</v>
      </c>
    </row>
    <row r="5" spans="1:9" x14ac:dyDescent="0.35">
      <c r="A5" t="s">
        <v>372</v>
      </c>
      <c r="B5" t="s">
        <v>373</v>
      </c>
      <c r="C5" t="s">
        <v>374</v>
      </c>
      <c r="D5" t="s">
        <v>51</v>
      </c>
      <c r="E5" t="s">
        <v>374</v>
      </c>
      <c r="F5" t="s">
        <v>51</v>
      </c>
      <c r="G5" t="s">
        <v>51</v>
      </c>
      <c r="H5" t="s">
        <v>375</v>
      </c>
      <c r="I5" t="s">
        <v>14</v>
      </c>
    </row>
    <row r="6" spans="1:9" x14ac:dyDescent="0.35">
      <c r="A6" t="s">
        <v>376</v>
      </c>
      <c r="B6" t="s">
        <v>377</v>
      </c>
      <c r="C6">
        <v>20</v>
      </c>
      <c r="D6" t="s">
        <v>378</v>
      </c>
      <c r="E6">
        <v>20</v>
      </c>
      <c r="F6">
        <v>0</v>
      </c>
      <c r="G6">
        <v>50</v>
      </c>
      <c r="H6" t="s">
        <v>379</v>
      </c>
      <c r="I6" t="s">
        <v>14</v>
      </c>
    </row>
    <row r="7" spans="1:9" x14ac:dyDescent="0.35">
      <c r="A7" t="s">
        <v>380</v>
      </c>
      <c r="B7" t="s">
        <v>381</v>
      </c>
      <c r="C7" t="s">
        <v>382</v>
      </c>
      <c r="D7" t="s">
        <v>51</v>
      </c>
      <c r="E7" t="s">
        <v>382</v>
      </c>
      <c r="F7" t="s">
        <v>51</v>
      </c>
      <c r="G7" t="s">
        <v>51</v>
      </c>
      <c r="H7" t="s">
        <v>383</v>
      </c>
      <c r="I7" t="s">
        <v>14</v>
      </c>
    </row>
    <row r="8" spans="1:9" x14ac:dyDescent="0.35">
      <c r="A8" t="s">
        <v>384</v>
      </c>
      <c r="B8" t="s">
        <v>385</v>
      </c>
      <c r="C8">
        <v>45</v>
      </c>
      <c r="D8" t="s">
        <v>378</v>
      </c>
      <c r="E8">
        <v>45</v>
      </c>
      <c r="F8">
        <v>0</v>
      </c>
      <c r="G8">
        <v>60</v>
      </c>
      <c r="H8" t="s">
        <v>386</v>
      </c>
      <c r="I8" t="s">
        <v>14</v>
      </c>
    </row>
    <row r="9" spans="1:9" x14ac:dyDescent="0.35">
      <c r="A9" t="s">
        <v>387</v>
      </c>
      <c r="B9" t="s">
        <v>388</v>
      </c>
      <c r="C9" t="s">
        <v>389</v>
      </c>
      <c r="D9" t="s">
        <v>51</v>
      </c>
      <c r="E9" t="s">
        <v>389</v>
      </c>
      <c r="F9" t="s">
        <v>51</v>
      </c>
      <c r="G9" t="s">
        <v>51</v>
      </c>
      <c r="H9" t="s">
        <v>390</v>
      </c>
      <c r="I9" t="s">
        <v>14</v>
      </c>
    </row>
    <row r="10" spans="1:9" x14ac:dyDescent="0.35">
      <c r="A10" t="s">
        <v>391</v>
      </c>
      <c r="B10" t="s">
        <v>392</v>
      </c>
      <c r="C10">
        <v>25</v>
      </c>
      <c r="D10" t="s">
        <v>378</v>
      </c>
      <c r="E10">
        <v>25</v>
      </c>
      <c r="F10">
        <v>0</v>
      </c>
      <c r="G10">
        <v>50</v>
      </c>
      <c r="H10" t="s">
        <v>393</v>
      </c>
      <c r="I10" t="s">
        <v>14</v>
      </c>
    </row>
    <row r="11" spans="1:9" x14ac:dyDescent="0.35">
      <c r="A11" t="s">
        <v>394</v>
      </c>
      <c r="B11" t="s">
        <v>395</v>
      </c>
      <c r="C11" t="s">
        <v>396</v>
      </c>
      <c r="D11" t="s">
        <v>51</v>
      </c>
      <c r="E11" t="s">
        <v>396</v>
      </c>
      <c r="F11" t="s">
        <v>51</v>
      </c>
      <c r="G11" t="s">
        <v>51</v>
      </c>
      <c r="H11" t="s">
        <v>397</v>
      </c>
      <c r="I11" t="s">
        <v>14</v>
      </c>
    </row>
    <row r="12" spans="1:9" x14ac:dyDescent="0.35">
      <c r="A12" t="s">
        <v>398</v>
      </c>
      <c r="B12" t="s">
        <v>399</v>
      </c>
      <c r="C12">
        <v>10</v>
      </c>
      <c r="D12" t="s">
        <v>378</v>
      </c>
      <c r="E12">
        <v>10</v>
      </c>
      <c r="F12">
        <v>0</v>
      </c>
      <c r="G12">
        <v>20</v>
      </c>
      <c r="H12" t="s">
        <v>400</v>
      </c>
      <c r="I12" t="s">
        <v>14</v>
      </c>
    </row>
    <row r="14" spans="1:9" x14ac:dyDescent="0.35">
      <c r="A14" s="2" t="s">
        <v>401</v>
      </c>
      <c r="B14" s="3"/>
      <c r="C14" s="3"/>
      <c r="D14" s="3"/>
      <c r="E14" s="3"/>
      <c r="F14" s="3"/>
      <c r="G14" s="3"/>
      <c r="H14" s="3"/>
      <c r="I14" s="3"/>
    </row>
    <row r="15" spans="1:9" x14ac:dyDescent="0.35">
      <c r="A15" t="s">
        <v>402</v>
      </c>
      <c r="B15" t="s">
        <v>403</v>
      </c>
      <c r="C15" t="s">
        <v>404</v>
      </c>
      <c r="D15" t="s">
        <v>51</v>
      </c>
      <c r="E15" t="s">
        <v>404</v>
      </c>
      <c r="F15" t="s">
        <v>51</v>
      </c>
      <c r="G15" t="s">
        <v>51</v>
      </c>
      <c r="H15" t="s">
        <v>405</v>
      </c>
      <c r="I15" t="s">
        <v>14</v>
      </c>
    </row>
    <row r="16" spans="1:9" x14ac:dyDescent="0.35">
      <c r="A16" t="s">
        <v>406</v>
      </c>
      <c r="B16" t="s">
        <v>407</v>
      </c>
      <c r="C16">
        <v>2</v>
      </c>
      <c r="D16" t="s">
        <v>213</v>
      </c>
      <c r="E16">
        <v>2</v>
      </c>
      <c r="F16">
        <v>0</v>
      </c>
      <c r="G16">
        <v>5</v>
      </c>
      <c r="H16" t="s">
        <v>408</v>
      </c>
      <c r="I16" t="s">
        <v>14</v>
      </c>
    </row>
    <row r="17" spans="1:9" x14ac:dyDescent="0.35">
      <c r="A17" t="s">
        <v>409</v>
      </c>
      <c r="B17" t="s">
        <v>410</v>
      </c>
      <c r="C17" t="s">
        <v>411</v>
      </c>
      <c r="D17" t="s">
        <v>51</v>
      </c>
      <c r="E17" t="s">
        <v>411</v>
      </c>
      <c r="F17" t="s">
        <v>51</v>
      </c>
      <c r="G17" t="s">
        <v>51</v>
      </c>
      <c r="H17" t="s">
        <v>412</v>
      </c>
      <c r="I17" t="s">
        <v>14</v>
      </c>
    </row>
    <row r="18" spans="1:9" x14ac:dyDescent="0.35">
      <c r="A18" t="s">
        <v>413</v>
      </c>
      <c r="B18" t="s">
        <v>414</v>
      </c>
      <c r="C18">
        <v>0.5</v>
      </c>
      <c r="D18" t="s">
        <v>213</v>
      </c>
      <c r="E18">
        <v>0.5</v>
      </c>
      <c r="F18">
        <v>0</v>
      </c>
      <c r="G18">
        <v>2</v>
      </c>
      <c r="H18" t="s">
        <v>415</v>
      </c>
      <c r="I18" t="s">
        <v>14</v>
      </c>
    </row>
    <row r="19" spans="1:9" x14ac:dyDescent="0.35">
      <c r="A19" t="s">
        <v>416</v>
      </c>
      <c r="B19" t="s">
        <v>417</v>
      </c>
      <c r="C19">
        <v>2.8</v>
      </c>
      <c r="D19" t="s">
        <v>213</v>
      </c>
      <c r="E19">
        <v>2.8</v>
      </c>
      <c r="F19" t="s">
        <v>51</v>
      </c>
      <c r="G19" t="s">
        <v>51</v>
      </c>
      <c r="H19" t="s">
        <v>418</v>
      </c>
      <c r="I19" t="s">
        <v>14</v>
      </c>
    </row>
    <row r="21" spans="1:9" x14ac:dyDescent="0.35">
      <c r="A21" s="2" t="s">
        <v>334</v>
      </c>
      <c r="B21" s="3"/>
      <c r="C21" s="3"/>
      <c r="D21" s="3"/>
      <c r="E21" s="3"/>
      <c r="F21" s="3"/>
      <c r="G21" s="3"/>
      <c r="H21" s="3"/>
      <c r="I21" s="3"/>
    </row>
    <row r="22" spans="1:9" x14ac:dyDescent="0.35">
      <c r="A22" t="s">
        <v>419</v>
      </c>
      <c r="B22" t="s">
        <v>420</v>
      </c>
      <c r="C22">
        <v>1223</v>
      </c>
      <c r="D22" t="s">
        <v>56</v>
      </c>
      <c r="E22">
        <v>1223</v>
      </c>
      <c r="F22">
        <v>1100</v>
      </c>
      <c r="G22">
        <v>1400</v>
      </c>
      <c r="H22" t="s">
        <v>421</v>
      </c>
      <c r="I22" t="s">
        <v>14</v>
      </c>
    </row>
    <row r="23" spans="1:9" x14ac:dyDescent="0.35">
      <c r="A23" t="s">
        <v>422</v>
      </c>
      <c r="B23" t="s">
        <v>423</v>
      </c>
      <c r="C23">
        <v>3.5</v>
      </c>
      <c r="D23" t="s">
        <v>424</v>
      </c>
      <c r="E23">
        <v>3.5</v>
      </c>
      <c r="F23">
        <v>2</v>
      </c>
      <c r="G23">
        <v>10</v>
      </c>
      <c r="H23" t="s">
        <v>425</v>
      </c>
      <c r="I23" t="s">
        <v>352</v>
      </c>
    </row>
    <row r="24" spans="1:9" x14ac:dyDescent="0.35">
      <c r="A24" t="s">
        <v>426</v>
      </c>
      <c r="B24" t="s">
        <v>427</v>
      </c>
      <c r="C24">
        <v>10</v>
      </c>
      <c r="D24" t="s">
        <v>428</v>
      </c>
      <c r="E24">
        <v>10</v>
      </c>
      <c r="F24">
        <v>5</v>
      </c>
      <c r="G24">
        <v>15</v>
      </c>
      <c r="H24" t="s">
        <v>429</v>
      </c>
      <c r="I24" t="s">
        <v>352</v>
      </c>
    </row>
    <row r="26" spans="1:9" x14ac:dyDescent="0.35">
      <c r="A26" s="2" t="s">
        <v>430</v>
      </c>
      <c r="B26" s="3"/>
      <c r="C26" s="3"/>
      <c r="D26" s="3"/>
      <c r="E26" s="3"/>
      <c r="F26" s="3"/>
      <c r="G26" s="3"/>
      <c r="H26" s="3"/>
      <c r="I26" s="3"/>
    </row>
    <row r="27" spans="1:9" x14ac:dyDescent="0.35">
      <c r="A27" t="s">
        <v>431</v>
      </c>
      <c r="B27" t="s">
        <v>432</v>
      </c>
      <c r="C27">
        <v>48.42</v>
      </c>
      <c r="D27" t="s">
        <v>72</v>
      </c>
      <c r="E27">
        <v>48.42</v>
      </c>
      <c r="F27" t="s">
        <v>51</v>
      </c>
      <c r="G27" t="s">
        <v>51</v>
      </c>
      <c r="H27" t="s">
        <v>433</v>
      </c>
      <c r="I27" t="s">
        <v>14</v>
      </c>
    </row>
    <row r="28" spans="1:9" x14ac:dyDescent="0.35">
      <c r="A28" t="s">
        <v>434</v>
      </c>
      <c r="B28" t="s">
        <v>435</v>
      </c>
      <c r="C28">
        <v>116.63</v>
      </c>
      <c r="D28" t="s">
        <v>72</v>
      </c>
      <c r="E28">
        <v>116.63</v>
      </c>
      <c r="F28" t="s">
        <v>51</v>
      </c>
      <c r="G28" t="s">
        <v>51</v>
      </c>
      <c r="H28" t="s">
        <v>436</v>
      </c>
      <c r="I28" t="s">
        <v>14</v>
      </c>
    </row>
    <row r="29" spans="1:9" x14ac:dyDescent="0.35">
      <c r="A29" t="s">
        <v>437</v>
      </c>
      <c r="B29" t="s">
        <v>438</v>
      </c>
      <c r="C29">
        <v>21.25</v>
      </c>
      <c r="D29" t="s">
        <v>72</v>
      </c>
      <c r="E29">
        <v>21.25</v>
      </c>
      <c r="F29" t="s">
        <v>51</v>
      </c>
      <c r="G29" t="s">
        <v>51</v>
      </c>
      <c r="H29" t="s">
        <v>439</v>
      </c>
      <c r="I29" t="s">
        <v>14</v>
      </c>
    </row>
    <row r="30" spans="1:9" x14ac:dyDescent="0.35">
      <c r="A30" t="s">
        <v>440</v>
      </c>
      <c r="B30" t="s">
        <v>441</v>
      </c>
      <c r="C30">
        <v>186.3</v>
      </c>
      <c r="D30" t="s">
        <v>72</v>
      </c>
      <c r="E30">
        <v>186.3</v>
      </c>
      <c r="F30" t="s">
        <v>51</v>
      </c>
      <c r="G30" t="s">
        <v>51</v>
      </c>
      <c r="H30" t="s">
        <v>442</v>
      </c>
      <c r="I30" t="s">
        <v>14</v>
      </c>
    </row>
    <row r="31" spans="1:9" x14ac:dyDescent="0.35">
      <c r="A31" t="s">
        <v>443</v>
      </c>
      <c r="B31" t="s">
        <v>444</v>
      </c>
      <c r="C31">
        <v>1</v>
      </c>
      <c r="D31" t="s">
        <v>51</v>
      </c>
      <c r="E31">
        <v>1</v>
      </c>
      <c r="F31">
        <v>1</v>
      </c>
      <c r="G31">
        <v>1.2</v>
      </c>
      <c r="H31" t="s">
        <v>445</v>
      </c>
      <c r="I31" t="s">
        <v>14</v>
      </c>
    </row>
    <row r="32" spans="1:9" x14ac:dyDescent="0.35">
      <c r="A32" t="s">
        <v>446</v>
      </c>
      <c r="B32" t="s">
        <v>447</v>
      </c>
      <c r="C32">
        <v>186.3</v>
      </c>
      <c r="D32" t="s">
        <v>72</v>
      </c>
      <c r="E32">
        <v>186.3</v>
      </c>
      <c r="F32" t="s">
        <v>51</v>
      </c>
      <c r="G32" t="s">
        <v>51</v>
      </c>
      <c r="H32" t="s">
        <v>448</v>
      </c>
      <c r="I32" t="s">
        <v>63</v>
      </c>
    </row>
    <row r="33" spans="1:9" x14ac:dyDescent="0.35">
      <c r="A33" t="s">
        <v>449</v>
      </c>
      <c r="B33" t="s">
        <v>450</v>
      </c>
      <c r="C33">
        <v>227.84</v>
      </c>
      <c r="D33" t="s">
        <v>451</v>
      </c>
      <c r="E33">
        <v>227.84</v>
      </c>
      <c r="F33" t="s">
        <v>51</v>
      </c>
      <c r="G33" t="s">
        <v>51</v>
      </c>
      <c r="H33" t="s">
        <v>452</v>
      </c>
      <c r="I33" t="s">
        <v>14</v>
      </c>
    </row>
  </sheetData>
  <mergeCells count="4">
    <mergeCell ref="A21:I21"/>
    <mergeCell ref="A14:I14"/>
    <mergeCell ref="A26:I26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6"/>
  <sheetViews>
    <sheetView workbookViewId="0"/>
  </sheetViews>
  <sheetFormatPr defaultRowHeight="14.5" x14ac:dyDescent="0.35"/>
  <cols>
    <col min="1" max="1" width="35" customWidth="1"/>
    <col min="2" max="2" width="12" customWidth="1"/>
    <col min="3" max="3" width="15" customWidth="1"/>
    <col min="4" max="4" width="12" customWidth="1"/>
    <col min="5" max="5" width="15" customWidth="1"/>
    <col min="6" max="7" width="10" customWidth="1"/>
    <col min="8" max="8" width="50" customWidth="1"/>
    <col min="9" max="9" width="3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453</v>
      </c>
      <c r="B2" s="3"/>
      <c r="C2" s="3"/>
      <c r="D2" s="3"/>
      <c r="E2" s="3"/>
      <c r="F2" s="3"/>
      <c r="G2" s="3"/>
      <c r="H2" s="3"/>
      <c r="I2" s="3"/>
    </row>
    <row r="3" spans="1:9" x14ac:dyDescent="0.35">
      <c r="A3" t="s">
        <v>454</v>
      </c>
      <c r="B3" t="s">
        <v>455</v>
      </c>
      <c r="C3" t="s">
        <v>184</v>
      </c>
      <c r="D3" t="s">
        <v>51</v>
      </c>
      <c r="E3" t="s">
        <v>184</v>
      </c>
      <c r="F3" t="s">
        <v>51</v>
      </c>
      <c r="G3" t="s">
        <v>51</v>
      </c>
      <c r="H3" t="s">
        <v>456</v>
      </c>
      <c r="I3" t="s">
        <v>186</v>
      </c>
    </row>
    <row r="4" spans="1:9" x14ac:dyDescent="0.35">
      <c r="A4" t="s">
        <v>457</v>
      </c>
      <c r="B4" t="s">
        <v>458</v>
      </c>
      <c r="C4" t="s">
        <v>459</v>
      </c>
      <c r="D4" t="s">
        <v>51</v>
      </c>
      <c r="E4" t="s">
        <v>459</v>
      </c>
      <c r="F4" t="s">
        <v>51</v>
      </c>
      <c r="G4" t="s">
        <v>51</v>
      </c>
      <c r="H4" t="s">
        <v>460</v>
      </c>
      <c r="I4" t="s">
        <v>14</v>
      </c>
    </row>
    <row r="5" spans="1:9" x14ac:dyDescent="0.35">
      <c r="A5" t="s">
        <v>461</v>
      </c>
      <c r="B5" t="s">
        <v>462</v>
      </c>
      <c r="C5">
        <v>16</v>
      </c>
      <c r="D5" t="s">
        <v>12</v>
      </c>
      <c r="E5">
        <v>16</v>
      </c>
      <c r="F5">
        <v>8</v>
      </c>
      <c r="G5">
        <v>25</v>
      </c>
      <c r="H5" t="s">
        <v>463</v>
      </c>
      <c r="I5" t="s">
        <v>24</v>
      </c>
    </row>
    <row r="6" spans="1:9" x14ac:dyDescent="0.35">
      <c r="A6" t="s">
        <v>464</v>
      </c>
      <c r="B6" t="s">
        <v>465</v>
      </c>
      <c r="C6">
        <v>10</v>
      </c>
      <c r="D6" t="s">
        <v>12</v>
      </c>
      <c r="E6">
        <v>10</v>
      </c>
      <c r="F6">
        <v>5</v>
      </c>
      <c r="G6">
        <v>20</v>
      </c>
      <c r="H6" t="s">
        <v>466</v>
      </c>
      <c r="I6" t="s">
        <v>24</v>
      </c>
    </row>
    <row r="7" spans="1:9" x14ac:dyDescent="0.35">
      <c r="A7" t="s">
        <v>467</v>
      </c>
      <c r="B7" t="s">
        <v>468</v>
      </c>
      <c r="C7">
        <v>79.38</v>
      </c>
      <c r="D7" t="s">
        <v>12</v>
      </c>
      <c r="E7">
        <v>79.38</v>
      </c>
      <c r="F7" t="s">
        <v>51</v>
      </c>
      <c r="G7" t="s">
        <v>51</v>
      </c>
      <c r="H7" t="s">
        <v>469</v>
      </c>
      <c r="I7" t="s">
        <v>63</v>
      </c>
    </row>
    <row r="8" spans="1:9" x14ac:dyDescent="0.35">
      <c r="A8" t="s">
        <v>470</v>
      </c>
      <c r="B8" t="s">
        <v>471</v>
      </c>
      <c r="C8">
        <v>14.8</v>
      </c>
      <c r="D8" t="s">
        <v>12</v>
      </c>
      <c r="E8">
        <v>14.8</v>
      </c>
      <c r="F8" t="s">
        <v>51</v>
      </c>
      <c r="G8" t="s">
        <v>51</v>
      </c>
      <c r="H8" t="s">
        <v>472</v>
      </c>
      <c r="I8" t="s">
        <v>63</v>
      </c>
    </row>
    <row r="9" spans="1:9" x14ac:dyDescent="0.35">
      <c r="A9" t="s">
        <v>473</v>
      </c>
      <c r="B9" t="s">
        <v>474</v>
      </c>
      <c r="C9">
        <v>8</v>
      </c>
      <c r="D9" t="s">
        <v>12</v>
      </c>
      <c r="E9">
        <v>8</v>
      </c>
      <c r="F9">
        <v>6</v>
      </c>
      <c r="G9">
        <v>12</v>
      </c>
      <c r="H9" t="s">
        <v>475</v>
      </c>
      <c r="I9" t="s">
        <v>24</v>
      </c>
    </row>
    <row r="10" spans="1:9" x14ac:dyDescent="0.35">
      <c r="A10" t="s">
        <v>476</v>
      </c>
      <c r="B10" t="s">
        <v>477</v>
      </c>
      <c r="C10">
        <v>15</v>
      </c>
      <c r="D10" t="s">
        <v>12</v>
      </c>
      <c r="E10">
        <v>15</v>
      </c>
      <c r="F10">
        <v>10</v>
      </c>
      <c r="G10">
        <v>25</v>
      </c>
      <c r="H10" t="s">
        <v>478</v>
      </c>
      <c r="I10" t="s">
        <v>24</v>
      </c>
    </row>
    <row r="11" spans="1:9" x14ac:dyDescent="0.35">
      <c r="A11" t="s">
        <v>479</v>
      </c>
      <c r="B11" t="s">
        <v>480</v>
      </c>
      <c r="C11">
        <v>15</v>
      </c>
      <c r="D11" t="s">
        <v>451</v>
      </c>
      <c r="E11">
        <v>15</v>
      </c>
      <c r="F11" t="s">
        <v>51</v>
      </c>
      <c r="G11" t="s">
        <v>51</v>
      </c>
      <c r="H11" t="s">
        <v>481</v>
      </c>
      <c r="I11" t="s">
        <v>14</v>
      </c>
    </row>
    <row r="13" spans="1:9" x14ac:dyDescent="0.35">
      <c r="A13" s="2" t="s">
        <v>482</v>
      </c>
      <c r="B13" s="3"/>
      <c r="C13" s="3"/>
      <c r="D13" s="3"/>
      <c r="E13" s="3"/>
      <c r="F13" s="3"/>
      <c r="G13" s="3"/>
      <c r="H13" s="3"/>
      <c r="I13" s="3"/>
    </row>
    <row r="14" spans="1:9" x14ac:dyDescent="0.35">
      <c r="A14" t="s">
        <v>454</v>
      </c>
      <c r="B14" t="s">
        <v>483</v>
      </c>
      <c r="C14" t="s">
        <v>257</v>
      </c>
      <c r="D14" t="s">
        <v>51</v>
      </c>
      <c r="E14" t="s">
        <v>257</v>
      </c>
      <c r="F14" t="s">
        <v>51</v>
      </c>
      <c r="G14" t="s">
        <v>51</v>
      </c>
      <c r="H14" t="s">
        <v>456</v>
      </c>
      <c r="I14" t="s">
        <v>186</v>
      </c>
    </row>
    <row r="15" spans="1:9" x14ac:dyDescent="0.35">
      <c r="A15" t="s">
        <v>457</v>
      </c>
      <c r="B15" t="s">
        <v>484</v>
      </c>
      <c r="C15" t="s">
        <v>459</v>
      </c>
      <c r="D15" t="s">
        <v>51</v>
      </c>
      <c r="E15" t="s">
        <v>459</v>
      </c>
      <c r="F15" t="s">
        <v>51</v>
      </c>
      <c r="G15" t="s">
        <v>51</v>
      </c>
      <c r="H15" t="s">
        <v>460</v>
      </c>
      <c r="I15" t="s">
        <v>14</v>
      </c>
    </row>
    <row r="16" spans="1:9" x14ac:dyDescent="0.35">
      <c r="A16" t="s">
        <v>461</v>
      </c>
      <c r="B16" t="s">
        <v>485</v>
      </c>
      <c r="C16">
        <v>16</v>
      </c>
      <c r="D16" t="s">
        <v>12</v>
      </c>
      <c r="E16">
        <v>16</v>
      </c>
      <c r="F16">
        <v>8</v>
      </c>
      <c r="G16">
        <v>25</v>
      </c>
      <c r="H16" t="s">
        <v>463</v>
      </c>
      <c r="I16" t="s">
        <v>24</v>
      </c>
    </row>
    <row r="17" spans="1:9" x14ac:dyDescent="0.35">
      <c r="A17" t="s">
        <v>464</v>
      </c>
      <c r="B17" t="s">
        <v>486</v>
      </c>
      <c r="C17">
        <v>10</v>
      </c>
      <c r="D17" t="s">
        <v>12</v>
      </c>
      <c r="E17">
        <v>10</v>
      </c>
      <c r="F17">
        <v>5</v>
      </c>
      <c r="G17">
        <v>20</v>
      </c>
      <c r="H17" t="s">
        <v>466</v>
      </c>
      <c r="I17" t="s">
        <v>24</v>
      </c>
    </row>
    <row r="18" spans="1:9" x14ac:dyDescent="0.35">
      <c r="A18" t="s">
        <v>467</v>
      </c>
      <c r="B18" t="s">
        <v>487</v>
      </c>
      <c r="C18">
        <v>185.22</v>
      </c>
      <c r="D18" t="s">
        <v>12</v>
      </c>
      <c r="E18">
        <v>185.22</v>
      </c>
      <c r="F18" t="s">
        <v>51</v>
      </c>
      <c r="G18" t="s">
        <v>51</v>
      </c>
      <c r="H18" t="s">
        <v>488</v>
      </c>
      <c r="I18" t="s">
        <v>63</v>
      </c>
    </row>
    <row r="19" spans="1:9" x14ac:dyDescent="0.35">
      <c r="A19" t="s">
        <v>470</v>
      </c>
      <c r="B19" t="s">
        <v>489</v>
      </c>
      <c r="C19">
        <v>14.8</v>
      </c>
      <c r="D19" t="s">
        <v>12</v>
      </c>
      <c r="E19">
        <v>14.8</v>
      </c>
      <c r="F19" t="s">
        <v>51</v>
      </c>
      <c r="G19" t="s">
        <v>51</v>
      </c>
      <c r="H19" t="s">
        <v>472</v>
      </c>
      <c r="I19" t="s">
        <v>63</v>
      </c>
    </row>
    <row r="20" spans="1:9" x14ac:dyDescent="0.35">
      <c r="A20" t="s">
        <v>473</v>
      </c>
      <c r="B20" t="s">
        <v>490</v>
      </c>
      <c r="C20">
        <v>8</v>
      </c>
      <c r="D20" t="s">
        <v>12</v>
      </c>
      <c r="E20">
        <v>8</v>
      </c>
      <c r="F20">
        <v>6</v>
      </c>
      <c r="G20">
        <v>12</v>
      </c>
      <c r="H20" t="s">
        <v>475</v>
      </c>
      <c r="I20" t="s">
        <v>24</v>
      </c>
    </row>
    <row r="21" spans="1:9" x14ac:dyDescent="0.35">
      <c r="A21" t="s">
        <v>476</v>
      </c>
      <c r="B21" t="s">
        <v>491</v>
      </c>
      <c r="C21">
        <v>15</v>
      </c>
      <c r="D21" t="s">
        <v>12</v>
      </c>
      <c r="E21">
        <v>15</v>
      </c>
      <c r="F21">
        <v>10</v>
      </c>
      <c r="G21">
        <v>25</v>
      </c>
      <c r="H21" t="s">
        <v>478</v>
      </c>
      <c r="I21" t="s">
        <v>24</v>
      </c>
    </row>
    <row r="22" spans="1:9" x14ac:dyDescent="0.35">
      <c r="A22" t="s">
        <v>479</v>
      </c>
      <c r="B22" t="s">
        <v>492</v>
      </c>
      <c r="C22">
        <v>35</v>
      </c>
      <c r="D22" t="s">
        <v>451</v>
      </c>
      <c r="E22">
        <v>35</v>
      </c>
      <c r="F22" t="s">
        <v>51</v>
      </c>
      <c r="G22" t="s">
        <v>51</v>
      </c>
      <c r="H22" t="s">
        <v>481</v>
      </c>
      <c r="I22" t="s">
        <v>14</v>
      </c>
    </row>
    <row r="24" spans="1:9" x14ac:dyDescent="0.35">
      <c r="A24" s="2" t="s">
        <v>493</v>
      </c>
      <c r="B24" s="3"/>
      <c r="C24" s="3"/>
      <c r="D24" s="3"/>
      <c r="E24" s="3"/>
      <c r="F24" s="3"/>
      <c r="G24" s="3"/>
      <c r="H24" s="3"/>
      <c r="I24" s="3"/>
    </row>
    <row r="25" spans="1:9" x14ac:dyDescent="0.35">
      <c r="A25" t="s">
        <v>494</v>
      </c>
      <c r="B25" t="s">
        <v>495</v>
      </c>
      <c r="C25" t="s">
        <v>496</v>
      </c>
      <c r="D25" t="s">
        <v>51</v>
      </c>
      <c r="E25" t="s">
        <v>496</v>
      </c>
      <c r="F25" t="s">
        <v>51</v>
      </c>
      <c r="G25" t="s">
        <v>51</v>
      </c>
      <c r="H25" t="s">
        <v>497</v>
      </c>
      <c r="I25" t="s">
        <v>186</v>
      </c>
    </row>
    <row r="26" spans="1:9" x14ac:dyDescent="0.35">
      <c r="A26" t="s">
        <v>498</v>
      </c>
      <c r="B26" t="s">
        <v>499</v>
      </c>
      <c r="C26">
        <v>5</v>
      </c>
      <c r="D26" t="s">
        <v>12</v>
      </c>
      <c r="E26">
        <v>5</v>
      </c>
      <c r="F26">
        <v>3</v>
      </c>
      <c r="G26">
        <v>10</v>
      </c>
      <c r="H26" t="s">
        <v>500</v>
      </c>
      <c r="I26" t="s">
        <v>24</v>
      </c>
    </row>
    <row r="27" spans="1:9" x14ac:dyDescent="0.35">
      <c r="A27" t="s">
        <v>467</v>
      </c>
      <c r="B27" t="s">
        <v>501</v>
      </c>
      <c r="C27">
        <v>132.30000000000001</v>
      </c>
      <c r="D27" t="s">
        <v>12</v>
      </c>
      <c r="E27">
        <v>132.30000000000001</v>
      </c>
      <c r="F27" t="s">
        <v>51</v>
      </c>
      <c r="G27" t="s">
        <v>51</v>
      </c>
      <c r="H27" t="s">
        <v>502</v>
      </c>
      <c r="I27" t="s">
        <v>63</v>
      </c>
    </row>
    <row r="28" spans="1:9" x14ac:dyDescent="0.35">
      <c r="A28" t="s">
        <v>470</v>
      </c>
      <c r="B28" t="s">
        <v>503</v>
      </c>
      <c r="C28">
        <v>14.8</v>
      </c>
      <c r="D28" t="s">
        <v>12</v>
      </c>
      <c r="E28">
        <v>14.8</v>
      </c>
      <c r="F28" t="s">
        <v>51</v>
      </c>
      <c r="G28" t="s">
        <v>51</v>
      </c>
      <c r="H28" t="s">
        <v>472</v>
      </c>
      <c r="I28" t="s">
        <v>63</v>
      </c>
    </row>
    <row r="29" spans="1:9" x14ac:dyDescent="0.35">
      <c r="A29" t="s">
        <v>504</v>
      </c>
      <c r="B29" t="s">
        <v>505</v>
      </c>
      <c r="C29">
        <v>1</v>
      </c>
      <c r="D29" t="s">
        <v>506</v>
      </c>
      <c r="E29">
        <v>1</v>
      </c>
      <c r="F29">
        <v>0.5</v>
      </c>
      <c r="G29">
        <v>2</v>
      </c>
      <c r="H29" t="s">
        <v>507</v>
      </c>
      <c r="I29" t="s">
        <v>352</v>
      </c>
    </row>
    <row r="31" spans="1:9" x14ac:dyDescent="0.35">
      <c r="A31" s="2" t="s">
        <v>508</v>
      </c>
      <c r="B31" s="3"/>
      <c r="C31" s="3"/>
      <c r="D31" s="3"/>
      <c r="E31" s="3"/>
      <c r="F31" s="3"/>
      <c r="G31" s="3"/>
      <c r="H31" s="3"/>
      <c r="I31" s="3"/>
    </row>
    <row r="32" spans="1:9" x14ac:dyDescent="0.35">
      <c r="A32" t="s">
        <v>509</v>
      </c>
      <c r="B32" t="s">
        <v>510</v>
      </c>
      <c r="C32" t="s">
        <v>511</v>
      </c>
      <c r="D32" t="s">
        <v>51</v>
      </c>
      <c r="E32" t="s">
        <v>511</v>
      </c>
      <c r="F32" t="s">
        <v>51</v>
      </c>
      <c r="G32" t="s">
        <v>51</v>
      </c>
      <c r="H32" t="s">
        <v>512</v>
      </c>
      <c r="I32" t="s">
        <v>513</v>
      </c>
    </row>
    <row r="33" spans="1:9" x14ac:dyDescent="0.35">
      <c r="A33" t="s">
        <v>514</v>
      </c>
      <c r="B33" t="s">
        <v>515</v>
      </c>
      <c r="C33">
        <v>22</v>
      </c>
      <c r="D33" t="s">
        <v>12</v>
      </c>
      <c r="E33">
        <v>22</v>
      </c>
      <c r="F33" t="s">
        <v>51</v>
      </c>
      <c r="G33" t="s">
        <v>51</v>
      </c>
      <c r="H33" t="s">
        <v>516</v>
      </c>
      <c r="I33" t="s">
        <v>193</v>
      </c>
    </row>
    <row r="34" spans="1:9" x14ac:dyDescent="0.35">
      <c r="A34" t="s">
        <v>517</v>
      </c>
      <c r="B34" t="s">
        <v>518</v>
      </c>
      <c r="C34">
        <v>16</v>
      </c>
      <c r="D34" t="s">
        <v>12</v>
      </c>
      <c r="E34">
        <v>16</v>
      </c>
      <c r="F34" t="s">
        <v>51</v>
      </c>
      <c r="G34" t="s">
        <v>51</v>
      </c>
      <c r="H34" t="e">
        <f>Terminal diameter</f>
        <v>#NAME?</v>
      </c>
      <c r="I34" t="s">
        <v>63</v>
      </c>
    </row>
    <row r="35" spans="1:9" x14ac:dyDescent="0.35">
      <c r="A35" t="s">
        <v>519</v>
      </c>
      <c r="B35" t="s">
        <v>520</v>
      </c>
      <c r="C35">
        <v>3</v>
      </c>
      <c r="D35" t="s">
        <v>12</v>
      </c>
      <c r="E35">
        <v>3</v>
      </c>
      <c r="F35">
        <v>1</v>
      </c>
      <c r="G35">
        <v>5</v>
      </c>
      <c r="H35" t="s">
        <v>521</v>
      </c>
      <c r="I35" t="s">
        <v>193</v>
      </c>
    </row>
    <row r="36" spans="1:9" x14ac:dyDescent="0.35">
      <c r="A36" t="s">
        <v>522</v>
      </c>
      <c r="B36" t="s">
        <v>523</v>
      </c>
      <c r="C36">
        <v>5</v>
      </c>
      <c r="D36" t="s">
        <v>12</v>
      </c>
      <c r="E36">
        <v>5</v>
      </c>
      <c r="F36">
        <v>3</v>
      </c>
      <c r="G36">
        <v>10</v>
      </c>
      <c r="H36" t="s">
        <v>524</v>
      </c>
      <c r="I36" t="s">
        <v>193</v>
      </c>
    </row>
  </sheetData>
  <mergeCells count="4">
    <mergeCell ref="A24:I24"/>
    <mergeCell ref="A31:I31"/>
    <mergeCell ref="A13:I13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8"/>
  <sheetViews>
    <sheetView workbookViewId="0"/>
  </sheetViews>
  <sheetFormatPr defaultRowHeight="14.5" x14ac:dyDescent="0.35"/>
  <cols>
    <col min="1" max="1" width="35" customWidth="1"/>
    <col min="2" max="2" width="12" customWidth="1"/>
    <col min="3" max="3" width="15" customWidth="1"/>
    <col min="4" max="4" width="12" customWidth="1"/>
    <col min="5" max="5" width="15" customWidth="1"/>
    <col min="6" max="7" width="10" customWidth="1"/>
    <col min="8" max="8" width="50" customWidth="1"/>
    <col min="9" max="9" width="3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525</v>
      </c>
      <c r="B2" s="3"/>
      <c r="C2" s="3"/>
      <c r="D2" s="3"/>
      <c r="E2" s="3"/>
      <c r="F2" s="3"/>
      <c r="G2" s="3"/>
      <c r="H2" s="3"/>
      <c r="I2" s="3"/>
    </row>
    <row r="3" spans="1:9" x14ac:dyDescent="0.35">
      <c r="A3" t="s">
        <v>526</v>
      </c>
      <c r="B3" t="s">
        <v>527</v>
      </c>
      <c r="C3">
        <v>2</v>
      </c>
      <c r="D3" t="s">
        <v>51</v>
      </c>
      <c r="E3">
        <v>2</v>
      </c>
      <c r="F3">
        <v>1</v>
      </c>
      <c r="G3">
        <v>10</v>
      </c>
      <c r="H3" t="s">
        <v>528</v>
      </c>
      <c r="I3" t="s">
        <v>193</v>
      </c>
    </row>
    <row r="4" spans="1:9" x14ac:dyDescent="0.35">
      <c r="A4" t="s">
        <v>529</v>
      </c>
      <c r="B4" t="s">
        <v>530</v>
      </c>
      <c r="C4">
        <v>4</v>
      </c>
      <c r="D4" t="s">
        <v>51</v>
      </c>
      <c r="E4">
        <v>4</v>
      </c>
      <c r="F4" t="s">
        <v>51</v>
      </c>
      <c r="G4" t="s">
        <v>51</v>
      </c>
      <c r="H4" t="s">
        <v>531</v>
      </c>
      <c r="I4" t="s">
        <v>63</v>
      </c>
    </row>
    <row r="5" spans="1:9" x14ac:dyDescent="0.35">
      <c r="A5" t="s">
        <v>532</v>
      </c>
      <c r="B5" t="s">
        <v>533</v>
      </c>
      <c r="C5">
        <v>40</v>
      </c>
      <c r="D5" t="s">
        <v>12</v>
      </c>
      <c r="E5">
        <v>40</v>
      </c>
      <c r="F5">
        <v>20</v>
      </c>
      <c r="G5">
        <v>80</v>
      </c>
      <c r="H5" t="s">
        <v>534</v>
      </c>
      <c r="I5" t="s">
        <v>193</v>
      </c>
    </row>
    <row r="6" spans="1:9" x14ac:dyDescent="0.35">
      <c r="A6" t="s">
        <v>535</v>
      </c>
      <c r="B6" t="s">
        <v>536</v>
      </c>
      <c r="C6">
        <v>50</v>
      </c>
      <c r="D6" t="s">
        <v>12</v>
      </c>
      <c r="E6">
        <v>50</v>
      </c>
      <c r="F6">
        <v>30</v>
      </c>
      <c r="G6">
        <v>100</v>
      </c>
      <c r="H6" t="s">
        <v>537</v>
      </c>
      <c r="I6" t="s">
        <v>193</v>
      </c>
    </row>
    <row r="7" spans="1:9" x14ac:dyDescent="0.35">
      <c r="A7" t="s">
        <v>538</v>
      </c>
      <c r="B7" t="s">
        <v>539</v>
      </c>
      <c r="C7">
        <v>0.3</v>
      </c>
      <c r="D7" t="s">
        <v>12</v>
      </c>
      <c r="E7">
        <v>0.3</v>
      </c>
      <c r="F7">
        <v>0.1</v>
      </c>
      <c r="G7">
        <v>0.5</v>
      </c>
      <c r="H7" t="s">
        <v>540</v>
      </c>
      <c r="I7" t="s">
        <v>193</v>
      </c>
    </row>
    <row r="8" spans="1:9" x14ac:dyDescent="0.35">
      <c r="A8" t="s">
        <v>541</v>
      </c>
      <c r="B8" t="s">
        <v>542</v>
      </c>
      <c r="C8" t="s">
        <v>543</v>
      </c>
      <c r="D8" t="s">
        <v>51</v>
      </c>
      <c r="E8" t="s">
        <v>543</v>
      </c>
      <c r="F8" t="s">
        <v>51</v>
      </c>
      <c r="G8" t="s">
        <v>51</v>
      </c>
      <c r="H8" t="s">
        <v>544</v>
      </c>
      <c r="I8" t="s">
        <v>186</v>
      </c>
    </row>
    <row r="9" spans="1:9" x14ac:dyDescent="0.35">
      <c r="A9" t="s">
        <v>545</v>
      </c>
      <c r="B9" t="s">
        <v>546</v>
      </c>
      <c r="C9">
        <v>125</v>
      </c>
      <c r="D9" t="s">
        <v>12</v>
      </c>
      <c r="E9">
        <v>125</v>
      </c>
      <c r="F9" t="s">
        <v>51</v>
      </c>
      <c r="G9" t="s">
        <v>51</v>
      </c>
      <c r="H9" t="s">
        <v>547</v>
      </c>
      <c r="I9" t="s">
        <v>193</v>
      </c>
    </row>
    <row r="10" spans="1:9" x14ac:dyDescent="0.35">
      <c r="A10" t="s">
        <v>548</v>
      </c>
      <c r="B10" t="s">
        <v>549</v>
      </c>
      <c r="C10">
        <v>74</v>
      </c>
      <c r="D10" t="s">
        <v>12</v>
      </c>
      <c r="E10">
        <v>74</v>
      </c>
      <c r="F10" t="s">
        <v>51</v>
      </c>
      <c r="G10" t="s">
        <v>51</v>
      </c>
      <c r="H10" t="s">
        <v>550</v>
      </c>
      <c r="I10" t="s">
        <v>193</v>
      </c>
    </row>
    <row r="11" spans="1:9" x14ac:dyDescent="0.35">
      <c r="A11" t="s">
        <v>551</v>
      </c>
      <c r="B11" t="s">
        <v>552</v>
      </c>
      <c r="C11">
        <v>30</v>
      </c>
      <c r="D11" t="s">
        <v>12</v>
      </c>
      <c r="E11">
        <v>30</v>
      </c>
      <c r="F11">
        <v>15</v>
      </c>
      <c r="G11">
        <v>50</v>
      </c>
      <c r="H11" t="s">
        <v>553</v>
      </c>
      <c r="I11" t="s">
        <v>193</v>
      </c>
    </row>
    <row r="12" spans="1:9" x14ac:dyDescent="0.35">
      <c r="A12" t="s">
        <v>554</v>
      </c>
      <c r="B12" t="s">
        <v>555</v>
      </c>
      <c r="C12">
        <v>5</v>
      </c>
      <c r="D12" t="s">
        <v>12</v>
      </c>
      <c r="E12">
        <v>5</v>
      </c>
      <c r="F12">
        <v>3</v>
      </c>
      <c r="G12">
        <v>10</v>
      </c>
      <c r="H12" t="s">
        <v>556</v>
      </c>
      <c r="I12" t="s">
        <v>193</v>
      </c>
    </row>
    <row r="14" spans="1:9" x14ac:dyDescent="0.35">
      <c r="A14" s="2" t="s">
        <v>557</v>
      </c>
      <c r="B14" s="3"/>
      <c r="C14" s="3"/>
      <c r="D14" s="3"/>
      <c r="E14" s="3"/>
      <c r="F14" s="3"/>
      <c r="G14" s="3"/>
      <c r="H14" s="3"/>
      <c r="I14" s="3"/>
    </row>
    <row r="15" spans="1:9" x14ac:dyDescent="0.35">
      <c r="A15" t="s">
        <v>526</v>
      </c>
      <c r="B15" t="s">
        <v>558</v>
      </c>
      <c r="C15">
        <v>2</v>
      </c>
      <c r="D15" t="s">
        <v>51</v>
      </c>
      <c r="E15">
        <v>2</v>
      </c>
      <c r="F15">
        <v>1</v>
      </c>
      <c r="G15">
        <v>10</v>
      </c>
      <c r="H15" t="s">
        <v>528</v>
      </c>
      <c r="I15" t="s">
        <v>193</v>
      </c>
    </row>
    <row r="16" spans="1:9" x14ac:dyDescent="0.35">
      <c r="A16" t="s">
        <v>559</v>
      </c>
      <c r="B16" t="s">
        <v>560</v>
      </c>
      <c r="C16">
        <v>4</v>
      </c>
      <c r="D16" t="s">
        <v>51</v>
      </c>
      <c r="E16">
        <v>4</v>
      </c>
      <c r="F16" t="s">
        <v>51</v>
      </c>
      <c r="G16" t="s">
        <v>51</v>
      </c>
      <c r="H16" t="s">
        <v>561</v>
      </c>
      <c r="I16" t="s">
        <v>63</v>
      </c>
    </row>
    <row r="17" spans="1:9" x14ac:dyDescent="0.35">
      <c r="A17" t="s">
        <v>532</v>
      </c>
      <c r="B17" t="s">
        <v>562</v>
      </c>
      <c r="C17">
        <v>40</v>
      </c>
      <c r="D17" t="s">
        <v>12</v>
      </c>
      <c r="E17">
        <v>40</v>
      </c>
      <c r="F17">
        <v>20</v>
      </c>
      <c r="G17">
        <v>80</v>
      </c>
      <c r="H17" t="s">
        <v>534</v>
      </c>
      <c r="I17" t="s">
        <v>193</v>
      </c>
    </row>
    <row r="18" spans="1:9" x14ac:dyDescent="0.35">
      <c r="A18" t="s">
        <v>535</v>
      </c>
      <c r="B18" t="s">
        <v>563</v>
      </c>
      <c r="C18">
        <v>50</v>
      </c>
      <c r="D18" t="s">
        <v>12</v>
      </c>
      <c r="E18">
        <v>50</v>
      </c>
      <c r="F18">
        <v>30</v>
      </c>
      <c r="G18">
        <v>100</v>
      </c>
      <c r="H18" t="s">
        <v>537</v>
      </c>
      <c r="I18" t="s">
        <v>193</v>
      </c>
    </row>
    <row r="19" spans="1:9" x14ac:dyDescent="0.35">
      <c r="A19" t="s">
        <v>538</v>
      </c>
      <c r="B19" t="s">
        <v>564</v>
      </c>
      <c r="C19">
        <v>0.2</v>
      </c>
      <c r="D19" t="s">
        <v>12</v>
      </c>
      <c r="E19">
        <v>0.2</v>
      </c>
      <c r="F19">
        <v>0.1</v>
      </c>
      <c r="G19">
        <v>0.4</v>
      </c>
      <c r="H19" t="s">
        <v>540</v>
      </c>
      <c r="I19" t="s">
        <v>193</v>
      </c>
    </row>
    <row r="20" spans="1:9" x14ac:dyDescent="0.35">
      <c r="A20" t="s">
        <v>541</v>
      </c>
      <c r="B20" t="s">
        <v>565</v>
      </c>
      <c r="C20" t="s">
        <v>566</v>
      </c>
      <c r="D20" t="s">
        <v>51</v>
      </c>
      <c r="E20" t="s">
        <v>566</v>
      </c>
      <c r="F20" t="s">
        <v>51</v>
      </c>
      <c r="G20" t="s">
        <v>51</v>
      </c>
      <c r="H20" t="s">
        <v>567</v>
      </c>
      <c r="I20" t="s">
        <v>186</v>
      </c>
    </row>
    <row r="21" spans="1:9" x14ac:dyDescent="0.35">
      <c r="A21" t="s">
        <v>545</v>
      </c>
      <c r="B21" t="s">
        <v>568</v>
      </c>
      <c r="C21">
        <v>125</v>
      </c>
      <c r="D21" t="s">
        <v>12</v>
      </c>
      <c r="E21">
        <v>125</v>
      </c>
      <c r="F21" t="s">
        <v>51</v>
      </c>
      <c r="G21" t="s">
        <v>51</v>
      </c>
      <c r="H21" t="s">
        <v>547</v>
      </c>
      <c r="I21" t="s">
        <v>193</v>
      </c>
    </row>
    <row r="22" spans="1:9" x14ac:dyDescent="0.35">
      <c r="A22" t="s">
        <v>548</v>
      </c>
      <c r="B22" t="s">
        <v>569</v>
      </c>
      <c r="C22">
        <v>78</v>
      </c>
      <c r="D22" t="s">
        <v>12</v>
      </c>
      <c r="E22">
        <v>78</v>
      </c>
      <c r="F22" t="s">
        <v>51</v>
      </c>
      <c r="G22" t="s">
        <v>51</v>
      </c>
      <c r="H22" t="s">
        <v>550</v>
      </c>
      <c r="I22" t="s">
        <v>193</v>
      </c>
    </row>
    <row r="23" spans="1:9" x14ac:dyDescent="0.35">
      <c r="A23" t="s">
        <v>551</v>
      </c>
      <c r="B23" t="s">
        <v>570</v>
      </c>
      <c r="C23">
        <v>30</v>
      </c>
      <c r="D23" t="s">
        <v>12</v>
      </c>
      <c r="E23">
        <v>30</v>
      </c>
      <c r="F23">
        <v>15</v>
      </c>
      <c r="G23">
        <v>50</v>
      </c>
      <c r="H23" t="s">
        <v>553</v>
      </c>
      <c r="I23" t="s">
        <v>193</v>
      </c>
    </row>
    <row r="24" spans="1:9" x14ac:dyDescent="0.35">
      <c r="A24" t="s">
        <v>554</v>
      </c>
      <c r="B24" t="s">
        <v>571</v>
      </c>
      <c r="C24">
        <v>5</v>
      </c>
      <c r="D24" t="s">
        <v>12</v>
      </c>
      <c r="E24">
        <v>5</v>
      </c>
      <c r="F24">
        <v>3</v>
      </c>
      <c r="G24">
        <v>10</v>
      </c>
      <c r="H24" t="s">
        <v>556</v>
      </c>
      <c r="I24" t="s">
        <v>193</v>
      </c>
    </row>
    <row r="26" spans="1:9" x14ac:dyDescent="0.35">
      <c r="A26" s="2" t="s">
        <v>572</v>
      </c>
      <c r="B26" s="3"/>
      <c r="C26" s="3"/>
      <c r="D26" s="3"/>
      <c r="E26" s="3"/>
      <c r="F26" s="3"/>
      <c r="G26" s="3"/>
      <c r="H26" s="3"/>
      <c r="I26" s="3"/>
    </row>
    <row r="27" spans="1:9" x14ac:dyDescent="0.35">
      <c r="A27" t="s">
        <v>573</v>
      </c>
      <c r="B27" t="s">
        <v>574</v>
      </c>
      <c r="C27" t="s">
        <v>575</v>
      </c>
      <c r="D27" t="s">
        <v>51</v>
      </c>
      <c r="E27" t="s">
        <v>575</v>
      </c>
      <c r="F27" t="s">
        <v>51</v>
      </c>
      <c r="G27" t="s">
        <v>51</v>
      </c>
      <c r="H27" t="s">
        <v>576</v>
      </c>
      <c r="I27" t="s">
        <v>193</v>
      </c>
    </row>
    <row r="28" spans="1:9" x14ac:dyDescent="0.35">
      <c r="A28" t="s">
        <v>577</v>
      </c>
      <c r="B28" t="s">
        <v>578</v>
      </c>
      <c r="C28">
        <v>50</v>
      </c>
      <c r="D28" t="s">
        <v>12</v>
      </c>
      <c r="E28">
        <v>50</v>
      </c>
      <c r="F28">
        <v>30</v>
      </c>
      <c r="G28">
        <v>80</v>
      </c>
      <c r="H28" t="s">
        <v>579</v>
      </c>
      <c r="I28" t="s">
        <v>193</v>
      </c>
    </row>
    <row r="29" spans="1:9" x14ac:dyDescent="0.35">
      <c r="A29" t="s">
        <v>580</v>
      </c>
      <c r="B29" t="s">
        <v>581</v>
      </c>
      <c r="C29">
        <v>30</v>
      </c>
      <c r="D29" t="s">
        <v>12</v>
      </c>
      <c r="E29">
        <v>30</v>
      </c>
      <c r="F29">
        <v>20</v>
      </c>
      <c r="G29">
        <v>50</v>
      </c>
      <c r="H29" t="s">
        <v>582</v>
      </c>
      <c r="I29" t="s">
        <v>193</v>
      </c>
    </row>
    <row r="30" spans="1:9" x14ac:dyDescent="0.35">
      <c r="A30" t="s">
        <v>583</v>
      </c>
      <c r="B30" t="s">
        <v>584</v>
      </c>
      <c r="C30">
        <v>1</v>
      </c>
      <c r="D30" t="s">
        <v>12</v>
      </c>
      <c r="E30">
        <v>1</v>
      </c>
      <c r="F30">
        <v>0.5</v>
      </c>
      <c r="G30">
        <v>3</v>
      </c>
      <c r="H30" t="s">
        <v>585</v>
      </c>
      <c r="I30" t="s">
        <v>193</v>
      </c>
    </row>
    <row r="31" spans="1:9" x14ac:dyDescent="0.35">
      <c r="A31" t="s">
        <v>586</v>
      </c>
      <c r="B31" t="s">
        <v>587</v>
      </c>
      <c r="C31" t="s">
        <v>543</v>
      </c>
      <c r="D31" t="s">
        <v>51</v>
      </c>
      <c r="E31" t="s">
        <v>543</v>
      </c>
      <c r="F31" t="s">
        <v>51</v>
      </c>
      <c r="G31" t="s">
        <v>51</v>
      </c>
      <c r="H31" t="s">
        <v>588</v>
      </c>
      <c r="I31" t="s">
        <v>186</v>
      </c>
    </row>
    <row r="33" spans="1:9" x14ac:dyDescent="0.35">
      <c r="A33" s="2" t="s">
        <v>589</v>
      </c>
      <c r="B33" s="3"/>
      <c r="C33" s="3"/>
      <c r="D33" s="3"/>
      <c r="E33" s="3"/>
      <c r="F33" s="3"/>
      <c r="G33" s="3"/>
      <c r="H33" s="3"/>
      <c r="I33" s="3"/>
    </row>
    <row r="34" spans="1:9" x14ac:dyDescent="0.35">
      <c r="A34" t="s">
        <v>573</v>
      </c>
      <c r="B34" t="s">
        <v>590</v>
      </c>
      <c r="C34" t="s">
        <v>575</v>
      </c>
      <c r="D34" t="s">
        <v>51</v>
      </c>
      <c r="E34" t="s">
        <v>575</v>
      </c>
      <c r="F34" t="s">
        <v>51</v>
      </c>
      <c r="G34" t="s">
        <v>51</v>
      </c>
      <c r="H34" t="s">
        <v>576</v>
      </c>
      <c r="I34" t="s">
        <v>193</v>
      </c>
    </row>
    <row r="35" spans="1:9" x14ac:dyDescent="0.35">
      <c r="A35" t="s">
        <v>577</v>
      </c>
      <c r="B35" t="s">
        <v>591</v>
      </c>
      <c r="C35">
        <v>50</v>
      </c>
      <c r="D35" t="s">
        <v>12</v>
      </c>
      <c r="E35">
        <v>50</v>
      </c>
      <c r="F35">
        <v>30</v>
      </c>
      <c r="G35">
        <v>80</v>
      </c>
      <c r="H35" t="s">
        <v>579</v>
      </c>
      <c r="I35" t="s">
        <v>193</v>
      </c>
    </row>
    <row r="36" spans="1:9" x14ac:dyDescent="0.35">
      <c r="A36" t="s">
        <v>580</v>
      </c>
      <c r="B36" t="s">
        <v>592</v>
      </c>
      <c r="C36">
        <v>30</v>
      </c>
      <c r="D36" t="s">
        <v>12</v>
      </c>
      <c r="E36">
        <v>30</v>
      </c>
      <c r="F36">
        <v>20</v>
      </c>
      <c r="G36">
        <v>50</v>
      </c>
      <c r="H36" t="s">
        <v>582</v>
      </c>
      <c r="I36" t="s">
        <v>193</v>
      </c>
    </row>
    <row r="37" spans="1:9" x14ac:dyDescent="0.35">
      <c r="A37" t="s">
        <v>583</v>
      </c>
      <c r="B37" t="s">
        <v>593</v>
      </c>
      <c r="C37">
        <v>0.8</v>
      </c>
      <c r="D37" t="s">
        <v>12</v>
      </c>
      <c r="E37">
        <v>0.8</v>
      </c>
      <c r="F37">
        <v>0.5</v>
      </c>
      <c r="G37">
        <v>2</v>
      </c>
      <c r="H37" t="s">
        <v>585</v>
      </c>
      <c r="I37" t="s">
        <v>193</v>
      </c>
    </row>
    <row r="38" spans="1:9" x14ac:dyDescent="0.35">
      <c r="A38" t="s">
        <v>586</v>
      </c>
      <c r="B38" t="s">
        <v>594</v>
      </c>
      <c r="C38" t="s">
        <v>566</v>
      </c>
      <c r="D38" t="s">
        <v>51</v>
      </c>
      <c r="E38" t="s">
        <v>566</v>
      </c>
      <c r="F38" t="s">
        <v>51</v>
      </c>
      <c r="G38" t="s">
        <v>51</v>
      </c>
      <c r="H38" t="s">
        <v>588</v>
      </c>
      <c r="I38" t="s">
        <v>186</v>
      </c>
    </row>
  </sheetData>
  <mergeCells count="4">
    <mergeCell ref="A14:I14"/>
    <mergeCell ref="A26:I26"/>
    <mergeCell ref="A2:I2"/>
    <mergeCell ref="A33:I3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9"/>
  <sheetViews>
    <sheetView workbookViewId="0"/>
  </sheetViews>
  <sheetFormatPr defaultRowHeight="14.5" x14ac:dyDescent="0.35"/>
  <cols>
    <col min="1" max="1" width="35" customWidth="1"/>
    <col min="2" max="2" width="12" customWidth="1"/>
    <col min="3" max="3" width="15" customWidth="1"/>
    <col min="4" max="4" width="12" customWidth="1"/>
    <col min="5" max="5" width="15" customWidth="1"/>
    <col min="6" max="7" width="10" customWidth="1"/>
    <col min="8" max="8" width="50" customWidth="1"/>
    <col min="9" max="9" width="3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595</v>
      </c>
      <c r="B2" s="3"/>
      <c r="C2" s="3"/>
      <c r="D2" s="3"/>
      <c r="E2" s="3"/>
      <c r="F2" s="3"/>
      <c r="G2" s="3"/>
      <c r="H2" s="3"/>
      <c r="I2" s="3"/>
    </row>
    <row r="3" spans="1:9" x14ac:dyDescent="0.35">
      <c r="A3" t="s">
        <v>454</v>
      </c>
      <c r="B3" t="s">
        <v>596</v>
      </c>
      <c r="C3" t="s">
        <v>297</v>
      </c>
      <c r="D3" t="s">
        <v>51</v>
      </c>
      <c r="E3" t="s">
        <v>297</v>
      </c>
      <c r="F3" t="s">
        <v>51</v>
      </c>
      <c r="G3" t="s">
        <v>51</v>
      </c>
      <c r="H3" t="s">
        <v>597</v>
      </c>
      <c r="I3" t="s">
        <v>14</v>
      </c>
    </row>
    <row r="4" spans="1:9" x14ac:dyDescent="0.35">
      <c r="A4" t="s">
        <v>598</v>
      </c>
      <c r="B4" t="s">
        <v>599</v>
      </c>
      <c r="C4">
        <v>0.12</v>
      </c>
      <c r="D4" t="s">
        <v>12</v>
      </c>
      <c r="E4">
        <v>0.12</v>
      </c>
      <c r="F4">
        <v>0.05</v>
      </c>
      <c r="G4">
        <v>0.3</v>
      </c>
      <c r="H4" t="s">
        <v>600</v>
      </c>
      <c r="I4" t="s">
        <v>14</v>
      </c>
    </row>
    <row r="5" spans="1:9" x14ac:dyDescent="0.35">
      <c r="A5" t="s">
        <v>601</v>
      </c>
      <c r="B5" t="s">
        <v>602</v>
      </c>
      <c r="C5" t="s">
        <v>603</v>
      </c>
      <c r="D5" t="s">
        <v>51</v>
      </c>
      <c r="E5" t="s">
        <v>603</v>
      </c>
      <c r="F5" t="s">
        <v>51</v>
      </c>
      <c r="G5" t="s">
        <v>51</v>
      </c>
      <c r="H5" t="s">
        <v>604</v>
      </c>
      <c r="I5" t="s">
        <v>14</v>
      </c>
    </row>
    <row r="6" spans="1:9" x14ac:dyDescent="0.35">
      <c r="A6" t="s">
        <v>605</v>
      </c>
      <c r="B6" t="s">
        <v>606</v>
      </c>
      <c r="C6">
        <v>84</v>
      </c>
      <c r="D6" t="s">
        <v>12</v>
      </c>
      <c r="E6">
        <v>84</v>
      </c>
      <c r="F6" t="s">
        <v>51</v>
      </c>
      <c r="G6" t="s">
        <v>51</v>
      </c>
      <c r="H6" t="s">
        <v>607</v>
      </c>
      <c r="I6" t="s">
        <v>63</v>
      </c>
    </row>
    <row r="7" spans="1:9" x14ac:dyDescent="0.35">
      <c r="A7" t="s">
        <v>608</v>
      </c>
      <c r="B7" t="s">
        <v>609</v>
      </c>
      <c r="C7">
        <v>261.7</v>
      </c>
      <c r="D7" t="s">
        <v>12</v>
      </c>
      <c r="E7">
        <v>261.7</v>
      </c>
      <c r="F7" t="s">
        <v>51</v>
      </c>
      <c r="G7" t="s">
        <v>51</v>
      </c>
      <c r="H7" t="s">
        <v>607</v>
      </c>
      <c r="I7" t="s">
        <v>63</v>
      </c>
    </row>
    <row r="8" spans="1:9" x14ac:dyDescent="0.35">
      <c r="A8" t="s">
        <v>610</v>
      </c>
      <c r="B8" t="s">
        <v>611</v>
      </c>
      <c r="C8">
        <v>2</v>
      </c>
      <c r="D8" t="s">
        <v>51</v>
      </c>
      <c r="E8">
        <v>2</v>
      </c>
      <c r="F8">
        <v>1</v>
      </c>
      <c r="G8">
        <v>4</v>
      </c>
      <c r="H8" t="s">
        <v>612</v>
      </c>
      <c r="I8" t="s">
        <v>14</v>
      </c>
    </row>
    <row r="9" spans="1:9" x14ac:dyDescent="0.35">
      <c r="A9" t="s">
        <v>613</v>
      </c>
      <c r="B9" t="s">
        <v>614</v>
      </c>
      <c r="C9">
        <v>6.22</v>
      </c>
      <c r="D9" t="s">
        <v>451</v>
      </c>
      <c r="E9">
        <v>6.22</v>
      </c>
      <c r="F9" t="s">
        <v>51</v>
      </c>
      <c r="G9" t="s">
        <v>51</v>
      </c>
      <c r="H9" t="s">
        <v>615</v>
      </c>
      <c r="I9" t="s">
        <v>14</v>
      </c>
    </row>
    <row r="11" spans="1:9" x14ac:dyDescent="0.35">
      <c r="A11" s="2" t="s">
        <v>616</v>
      </c>
      <c r="B11" s="3"/>
      <c r="C11" s="3"/>
      <c r="D11" s="3"/>
      <c r="E11" s="3"/>
      <c r="F11" s="3"/>
      <c r="G11" s="3"/>
      <c r="H11" s="3"/>
      <c r="I11" s="3"/>
    </row>
    <row r="12" spans="1:9" x14ac:dyDescent="0.35">
      <c r="A12" t="s">
        <v>454</v>
      </c>
      <c r="B12" t="s">
        <v>617</v>
      </c>
      <c r="C12" t="s">
        <v>297</v>
      </c>
      <c r="D12" t="s">
        <v>51</v>
      </c>
      <c r="E12" t="s">
        <v>297</v>
      </c>
      <c r="F12" t="s">
        <v>51</v>
      </c>
      <c r="G12" t="s">
        <v>51</v>
      </c>
      <c r="H12" t="s">
        <v>618</v>
      </c>
      <c r="I12" t="s">
        <v>14</v>
      </c>
    </row>
    <row r="13" spans="1:9" x14ac:dyDescent="0.35">
      <c r="A13" t="s">
        <v>598</v>
      </c>
      <c r="B13" t="s">
        <v>619</v>
      </c>
      <c r="C13">
        <v>8.5000000000000006E-2</v>
      </c>
      <c r="D13" t="s">
        <v>12</v>
      </c>
      <c r="E13">
        <v>8.5000000000000006E-2</v>
      </c>
      <c r="F13">
        <v>0.05</v>
      </c>
      <c r="G13">
        <v>0.2</v>
      </c>
      <c r="H13" t="s">
        <v>620</v>
      </c>
      <c r="I13" t="s">
        <v>14</v>
      </c>
    </row>
    <row r="14" spans="1:9" x14ac:dyDescent="0.35">
      <c r="A14" t="s">
        <v>601</v>
      </c>
      <c r="B14" t="s">
        <v>621</v>
      </c>
      <c r="C14" t="s">
        <v>622</v>
      </c>
      <c r="D14" t="s">
        <v>51</v>
      </c>
      <c r="E14" t="s">
        <v>623</v>
      </c>
      <c r="F14" t="s">
        <v>51</v>
      </c>
      <c r="G14" t="s">
        <v>51</v>
      </c>
      <c r="H14" t="s">
        <v>624</v>
      </c>
      <c r="I14" t="s">
        <v>14</v>
      </c>
    </row>
    <row r="15" spans="1:9" x14ac:dyDescent="0.35">
      <c r="A15" t="s">
        <v>625</v>
      </c>
      <c r="B15" t="s">
        <v>626</v>
      </c>
      <c r="C15">
        <v>4</v>
      </c>
      <c r="D15" t="s">
        <v>451</v>
      </c>
      <c r="E15">
        <v>4</v>
      </c>
      <c r="F15" t="s">
        <v>51</v>
      </c>
      <c r="G15" t="s">
        <v>51</v>
      </c>
      <c r="H15" t="s">
        <v>627</v>
      </c>
      <c r="I15" t="s">
        <v>14</v>
      </c>
    </row>
    <row r="17" spans="1:9" x14ac:dyDescent="0.35">
      <c r="A17" s="2" t="s">
        <v>628</v>
      </c>
      <c r="B17" s="3"/>
      <c r="C17" s="3"/>
      <c r="D17" s="3"/>
      <c r="E17" s="3"/>
      <c r="F17" s="3"/>
      <c r="G17" s="3"/>
      <c r="H17" s="3"/>
      <c r="I17" s="3"/>
    </row>
    <row r="18" spans="1:9" x14ac:dyDescent="0.35">
      <c r="A18" t="s">
        <v>454</v>
      </c>
      <c r="B18" t="s">
        <v>629</v>
      </c>
      <c r="C18" t="s">
        <v>630</v>
      </c>
      <c r="D18" t="s">
        <v>51</v>
      </c>
      <c r="E18" t="s">
        <v>630</v>
      </c>
      <c r="F18" t="s">
        <v>51</v>
      </c>
      <c r="G18" t="s">
        <v>51</v>
      </c>
      <c r="H18" t="s">
        <v>631</v>
      </c>
      <c r="I18" t="s">
        <v>14</v>
      </c>
    </row>
    <row r="19" spans="1:9" x14ac:dyDescent="0.35">
      <c r="A19" t="s">
        <v>632</v>
      </c>
      <c r="B19" t="s">
        <v>633</v>
      </c>
      <c r="C19">
        <v>30</v>
      </c>
      <c r="D19" t="s">
        <v>12</v>
      </c>
      <c r="E19">
        <v>30</v>
      </c>
      <c r="F19">
        <v>10</v>
      </c>
      <c r="G19">
        <v>50</v>
      </c>
      <c r="H19" t="s">
        <v>634</v>
      </c>
      <c r="I19" t="s">
        <v>14</v>
      </c>
    </row>
    <row r="20" spans="1:9" x14ac:dyDescent="0.35">
      <c r="A20" t="s">
        <v>635</v>
      </c>
      <c r="B20" t="s">
        <v>636</v>
      </c>
      <c r="C20">
        <v>0.03</v>
      </c>
      <c r="D20" t="s">
        <v>12</v>
      </c>
      <c r="E20">
        <v>0.03</v>
      </c>
      <c r="F20">
        <v>0.02</v>
      </c>
      <c r="G20">
        <v>0.1</v>
      </c>
      <c r="H20" t="s">
        <v>637</v>
      </c>
      <c r="I20" t="s">
        <v>14</v>
      </c>
    </row>
    <row r="21" spans="1:9" x14ac:dyDescent="0.35">
      <c r="A21" t="s">
        <v>638</v>
      </c>
      <c r="B21" t="s">
        <v>639</v>
      </c>
      <c r="C21">
        <v>4</v>
      </c>
      <c r="D21" t="s">
        <v>51</v>
      </c>
      <c r="E21">
        <v>4</v>
      </c>
      <c r="F21">
        <v>2</v>
      </c>
      <c r="G21">
        <v>8</v>
      </c>
      <c r="H21" t="s">
        <v>640</v>
      </c>
      <c r="I21" t="s">
        <v>14</v>
      </c>
    </row>
    <row r="22" spans="1:9" x14ac:dyDescent="0.35">
      <c r="A22" t="s">
        <v>641</v>
      </c>
      <c r="B22" t="s">
        <v>642</v>
      </c>
      <c r="C22">
        <v>200</v>
      </c>
      <c r="D22" t="s">
        <v>12</v>
      </c>
      <c r="E22">
        <v>200</v>
      </c>
      <c r="F22" t="s">
        <v>51</v>
      </c>
      <c r="G22" t="s">
        <v>51</v>
      </c>
      <c r="H22" t="s">
        <v>643</v>
      </c>
      <c r="I22" t="s">
        <v>193</v>
      </c>
    </row>
    <row r="23" spans="1:9" x14ac:dyDescent="0.35">
      <c r="A23" t="s">
        <v>644</v>
      </c>
      <c r="B23" t="s">
        <v>645</v>
      </c>
      <c r="C23">
        <v>0.87</v>
      </c>
      <c r="D23" t="s">
        <v>451</v>
      </c>
      <c r="E23">
        <v>0.87</v>
      </c>
      <c r="F23" t="s">
        <v>51</v>
      </c>
      <c r="G23" t="s">
        <v>51</v>
      </c>
      <c r="H23" t="s">
        <v>646</v>
      </c>
      <c r="I23" t="s">
        <v>14</v>
      </c>
    </row>
    <row r="25" spans="1:9" x14ac:dyDescent="0.35">
      <c r="A25" s="2" t="s">
        <v>647</v>
      </c>
      <c r="B25" s="3"/>
      <c r="C25" s="3"/>
      <c r="D25" s="3"/>
      <c r="E25" s="3"/>
      <c r="F25" s="3"/>
      <c r="G25" s="3"/>
      <c r="H25" s="3"/>
      <c r="I25" s="3"/>
    </row>
    <row r="26" spans="1:9" x14ac:dyDescent="0.35">
      <c r="A26" t="s">
        <v>648</v>
      </c>
      <c r="B26" t="s">
        <v>649</v>
      </c>
      <c r="C26" t="s">
        <v>650</v>
      </c>
      <c r="D26" t="s">
        <v>51</v>
      </c>
      <c r="E26" t="s">
        <v>650</v>
      </c>
      <c r="F26" t="s">
        <v>51</v>
      </c>
      <c r="G26" t="s">
        <v>51</v>
      </c>
      <c r="H26" t="s">
        <v>651</v>
      </c>
      <c r="I26" t="s">
        <v>186</v>
      </c>
    </row>
    <row r="27" spans="1:9" x14ac:dyDescent="0.35">
      <c r="A27" t="s">
        <v>652</v>
      </c>
      <c r="B27" t="s">
        <v>653</v>
      </c>
      <c r="C27" t="s">
        <v>654</v>
      </c>
      <c r="D27" t="s">
        <v>51</v>
      </c>
      <c r="E27" t="s">
        <v>654</v>
      </c>
      <c r="F27" t="s">
        <v>51</v>
      </c>
      <c r="G27" t="s">
        <v>51</v>
      </c>
      <c r="H27" t="s">
        <v>655</v>
      </c>
      <c r="I27" t="s">
        <v>186</v>
      </c>
    </row>
    <row r="28" spans="1:9" x14ac:dyDescent="0.35">
      <c r="A28" t="s">
        <v>656</v>
      </c>
      <c r="B28" t="s">
        <v>657</v>
      </c>
      <c r="C28">
        <v>0.5</v>
      </c>
      <c r="D28" t="s">
        <v>12</v>
      </c>
      <c r="E28">
        <v>0.5</v>
      </c>
      <c r="F28">
        <v>0.2</v>
      </c>
      <c r="G28">
        <v>2</v>
      </c>
      <c r="H28" t="s">
        <v>658</v>
      </c>
      <c r="I28" t="s">
        <v>193</v>
      </c>
    </row>
    <row r="29" spans="1:9" x14ac:dyDescent="0.35">
      <c r="A29" t="s">
        <v>659</v>
      </c>
      <c r="B29" t="s">
        <v>660</v>
      </c>
      <c r="C29">
        <v>5.6</v>
      </c>
      <c r="D29" t="s">
        <v>451</v>
      </c>
      <c r="E29">
        <v>5.6</v>
      </c>
      <c r="F29" t="s">
        <v>51</v>
      </c>
      <c r="G29" t="s">
        <v>51</v>
      </c>
      <c r="H29" t="s">
        <v>661</v>
      </c>
      <c r="I29" t="s">
        <v>14</v>
      </c>
    </row>
  </sheetData>
  <mergeCells count="4">
    <mergeCell ref="A17:I17"/>
    <mergeCell ref="A25:I25"/>
    <mergeCell ref="A2:I2"/>
    <mergeCell ref="A11:I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7"/>
  <sheetViews>
    <sheetView tabSelected="1" topLeftCell="A31" workbookViewId="0">
      <selection activeCell="A40" sqref="A40"/>
    </sheetView>
  </sheetViews>
  <sheetFormatPr defaultRowHeight="14.5" x14ac:dyDescent="0.35"/>
  <cols>
    <col min="1" max="1" width="35" customWidth="1"/>
    <col min="2" max="2" width="12" customWidth="1"/>
    <col min="3" max="3" width="15" customWidth="1"/>
    <col min="4" max="4" width="12" customWidth="1"/>
    <col min="5" max="5" width="15" customWidth="1"/>
    <col min="6" max="7" width="10" customWidth="1"/>
    <col min="8" max="8" width="50" customWidth="1"/>
    <col min="9" max="9" width="3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662</v>
      </c>
      <c r="B2" s="3"/>
      <c r="C2" s="3"/>
      <c r="D2" s="3"/>
      <c r="E2" s="3"/>
      <c r="F2" s="3"/>
      <c r="G2" s="3"/>
      <c r="H2" s="3"/>
      <c r="I2" s="3"/>
    </row>
    <row r="3" spans="1:9" x14ac:dyDescent="0.35">
      <c r="A3" t="s">
        <v>663</v>
      </c>
      <c r="B3" t="s">
        <v>664</v>
      </c>
      <c r="C3">
        <v>1.5</v>
      </c>
      <c r="D3" t="s">
        <v>665</v>
      </c>
      <c r="E3">
        <v>1.5</v>
      </c>
      <c r="F3">
        <v>0.5</v>
      </c>
      <c r="G3">
        <v>5</v>
      </c>
      <c r="H3" t="s">
        <v>666</v>
      </c>
      <c r="I3" t="s">
        <v>205</v>
      </c>
    </row>
    <row r="4" spans="1:9" x14ac:dyDescent="0.35">
      <c r="A4" t="s">
        <v>667</v>
      </c>
      <c r="B4" t="s">
        <v>668</v>
      </c>
      <c r="C4">
        <v>0.5</v>
      </c>
      <c r="D4" t="s">
        <v>665</v>
      </c>
      <c r="E4">
        <v>0.5</v>
      </c>
      <c r="F4">
        <v>0.1</v>
      </c>
      <c r="G4">
        <v>2</v>
      </c>
      <c r="H4" t="s">
        <v>669</v>
      </c>
      <c r="I4" t="s">
        <v>205</v>
      </c>
    </row>
    <row r="5" spans="1:9" x14ac:dyDescent="0.35">
      <c r="A5" t="s">
        <v>670</v>
      </c>
      <c r="B5" t="s">
        <v>671</v>
      </c>
      <c r="C5">
        <v>1100</v>
      </c>
      <c r="D5" t="s">
        <v>672</v>
      </c>
      <c r="E5">
        <v>1100</v>
      </c>
      <c r="F5">
        <v>800</v>
      </c>
      <c r="G5">
        <v>1400</v>
      </c>
      <c r="H5" t="s">
        <v>429</v>
      </c>
      <c r="I5" t="s">
        <v>205</v>
      </c>
    </row>
    <row r="7" spans="1:9" x14ac:dyDescent="0.35">
      <c r="A7" s="2" t="s">
        <v>673</v>
      </c>
      <c r="B7" s="3"/>
      <c r="C7" s="3"/>
      <c r="D7" s="3"/>
      <c r="E7" s="3"/>
      <c r="F7" s="3"/>
      <c r="G7" s="3"/>
      <c r="H7" s="3"/>
      <c r="I7" s="3"/>
    </row>
    <row r="8" spans="1:9" x14ac:dyDescent="0.35">
      <c r="A8" t="s">
        <v>663</v>
      </c>
      <c r="B8" t="s">
        <v>674</v>
      </c>
      <c r="C8">
        <v>5</v>
      </c>
      <c r="D8" t="s">
        <v>665</v>
      </c>
      <c r="E8">
        <v>5</v>
      </c>
      <c r="F8">
        <v>1</v>
      </c>
      <c r="G8">
        <v>10</v>
      </c>
      <c r="H8" t="s">
        <v>666</v>
      </c>
      <c r="I8" t="s">
        <v>205</v>
      </c>
    </row>
    <row r="9" spans="1:9" x14ac:dyDescent="0.35">
      <c r="A9" t="s">
        <v>667</v>
      </c>
      <c r="B9" t="s">
        <v>675</v>
      </c>
      <c r="C9">
        <v>1</v>
      </c>
      <c r="D9" t="s">
        <v>665</v>
      </c>
      <c r="E9">
        <v>1</v>
      </c>
      <c r="F9">
        <v>0.3</v>
      </c>
      <c r="G9">
        <v>3</v>
      </c>
      <c r="H9" t="s">
        <v>669</v>
      </c>
      <c r="I9" t="s">
        <v>205</v>
      </c>
    </row>
    <row r="10" spans="1:9" x14ac:dyDescent="0.35">
      <c r="A10" t="s">
        <v>670</v>
      </c>
      <c r="B10" t="s">
        <v>676</v>
      </c>
      <c r="C10">
        <v>900</v>
      </c>
      <c r="D10" t="s">
        <v>672</v>
      </c>
      <c r="E10">
        <v>900</v>
      </c>
      <c r="F10">
        <v>700</v>
      </c>
      <c r="G10">
        <v>1200</v>
      </c>
      <c r="H10" t="s">
        <v>429</v>
      </c>
      <c r="I10" t="s">
        <v>205</v>
      </c>
    </row>
    <row r="12" spans="1:9" x14ac:dyDescent="0.35">
      <c r="A12" s="2" t="s">
        <v>677</v>
      </c>
      <c r="B12" s="3"/>
      <c r="C12" s="3"/>
      <c r="D12" s="3"/>
      <c r="E12" s="3"/>
      <c r="F12" s="3"/>
      <c r="G12" s="3"/>
      <c r="H12" s="3"/>
      <c r="I12" s="3"/>
    </row>
    <row r="13" spans="1:9" x14ac:dyDescent="0.35">
      <c r="A13" t="s">
        <v>663</v>
      </c>
      <c r="B13" t="s">
        <v>678</v>
      </c>
      <c r="C13">
        <v>0.5</v>
      </c>
      <c r="D13" t="s">
        <v>665</v>
      </c>
      <c r="E13">
        <v>0.5</v>
      </c>
      <c r="F13">
        <v>0.1</v>
      </c>
      <c r="G13">
        <v>1</v>
      </c>
      <c r="H13" t="s">
        <v>679</v>
      </c>
      <c r="I13" t="s">
        <v>205</v>
      </c>
    </row>
    <row r="14" spans="1:9" x14ac:dyDescent="0.35">
      <c r="A14" t="s">
        <v>667</v>
      </c>
      <c r="B14" t="s">
        <v>680</v>
      </c>
      <c r="C14">
        <v>0.2</v>
      </c>
      <c r="D14" t="s">
        <v>665</v>
      </c>
      <c r="E14">
        <v>0.2</v>
      </c>
      <c r="F14">
        <v>0.05</v>
      </c>
      <c r="G14">
        <v>0.5</v>
      </c>
      <c r="H14" t="s">
        <v>681</v>
      </c>
      <c r="I14" t="s">
        <v>205</v>
      </c>
    </row>
    <row r="15" spans="1:9" x14ac:dyDescent="0.35">
      <c r="A15" t="s">
        <v>670</v>
      </c>
      <c r="B15" t="s">
        <v>682</v>
      </c>
      <c r="C15">
        <v>1900</v>
      </c>
      <c r="D15" t="s">
        <v>672</v>
      </c>
      <c r="E15">
        <v>1900</v>
      </c>
      <c r="F15">
        <v>1500</v>
      </c>
      <c r="G15">
        <v>2500</v>
      </c>
      <c r="H15" t="s">
        <v>683</v>
      </c>
      <c r="I15" t="s">
        <v>205</v>
      </c>
    </row>
    <row r="17" spans="1:9" x14ac:dyDescent="0.35">
      <c r="A17" s="2" t="s">
        <v>684</v>
      </c>
      <c r="B17" s="3"/>
      <c r="C17" s="3"/>
      <c r="D17" s="3"/>
      <c r="E17" s="3"/>
      <c r="F17" s="3"/>
      <c r="G17" s="3"/>
      <c r="H17" s="3"/>
      <c r="I17" s="3"/>
    </row>
    <row r="18" spans="1:9" x14ac:dyDescent="0.35">
      <c r="A18" t="s">
        <v>685</v>
      </c>
      <c r="B18" t="s">
        <v>686</v>
      </c>
      <c r="C18">
        <v>0.6</v>
      </c>
      <c r="D18" t="s">
        <v>665</v>
      </c>
      <c r="E18">
        <v>0.6</v>
      </c>
      <c r="F18">
        <v>0.4</v>
      </c>
      <c r="G18">
        <v>1</v>
      </c>
      <c r="H18" t="s">
        <v>687</v>
      </c>
      <c r="I18" t="s">
        <v>205</v>
      </c>
    </row>
    <row r="19" spans="1:9" x14ac:dyDescent="0.35">
      <c r="A19" t="s">
        <v>670</v>
      </c>
      <c r="B19" t="s">
        <v>688</v>
      </c>
      <c r="C19">
        <v>2055</v>
      </c>
      <c r="D19" t="s">
        <v>672</v>
      </c>
      <c r="E19">
        <v>2055</v>
      </c>
      <c r="F19">
        <v>1800</v>
      </c>
      <c r="G19">
        <v>2500</v>
      </c>
      <c r="H19" t="s">
        <v>429</v>
      </c>
      <c r="I19" t="s">
        <v>205</v>
      </c>
    </row>
    <row r="21" spans="1:9" x14ac:dyDescent="0.35">
      <c r="A21" s="2" t="s">
        <v>689</v>
      </c>
      <c r="B21" s="3"/>
      <c r="C21" s="3"/>
      <c r="D21" s="3"/>
      <c r="E21" s="3"/>
      <c r="F21" s="3"/>
      <c r="G21" s="3"/>
      <c r="H21" s="3"/>
      <c r="I21" s="3"/>
    </row>
    <row r="22" spans="1:9" x14ac:dyDescent="0.35">
      <c r="A22" t="s">
        <v>685</v>
      </c>
      <c r="B22" t="s">
        <v>690</v>
      </c>
      <c r="C22">
        <v>205</v>
      </c>
      <c r="D22" t="s">
        <v>665</v>
      </c>
      <c r="E22">
        <v>205</v>
      </c>
      <c r="F22">
        <v>150</v>
      </c>
      <c r="G22">
        <v>240</v>
      </c>
      <c r="H22" t="s">
        <v>691</v>
      </c>
      <c r="I22" t="s">
        <v>692</v>
      </c>
    </row>
    <row r="23" spans="1:9" x14ac:dyDescent="0.35">
      <c r="A23" t="s">
        <v>670</v>
      </c>
      <c r="B23" t="s">
        <v>693</v>
      </c>
      <c r="C23">
        <v>900</v>
      </c>
      <c r="D23" t="s">
        <v>672</v>
      </c>
      <c r="E23">
        <v>900</v>
      </c>
      <c r="F23">
        <v>850</v>
      </c>
      <c r="G23">
        <v>950</v>
      </c>
      <c r="H23" t="s">
        <v>429</v>
      </c>
      <c r="I23" t="s">
        <v>692</v>
      </c>
    </row>
    <row r="25" spans="1:9" x14ac:dyDescent="0.35">
      <c r="A25" s="2" t="s">
        <v>694</v>
      </c>
      <c r="B25" s="3"/>
      <c r="C25" s="3"/>
      <c r="D25" s="3"/>
      <c r="E25" s="3"/>
      <c r="F25" s="3"/>
      <c r="G25" s="3"/>
      <c r="H25" s="3"/>
      <c r="I25" s="3"/>
    </row>
    <row r="26" spans="1:9" x14ac:dyDescent="0.35">
      <c r="A26" t="s">
        <v>685</v>
      </c>
      <c r="B26" t="s">
        <v>695</v>
      </c>
      <c r="C26">
        <v>400</v>
      </c>
      <c r="D26" t="s">
        <v>665</v>
      </c>
      <c r="E26">
        <v>400</v>
      </c>
      <c r="F26">
        <v>380</v>
      </c>
      <c r="G26">
        <v>420</v>
      </c>
      <c r="H26" t="s">
        <v>696</v>
      </c>
      <c r="I26" t="s">
        <v>692</v>
      </c>
    </row>
    <row r="27" spans="1:9" x14ac:dyDescent="0.35">
      <c r="A27" t="s">
        <v>670</v>
      </c>
      <c r="B27" t="s">
        <v>697</v>
      </c>
      <c r="C27">
        <v>385</v>
      </c>
      <c r="D27" t="s">
        <v>672</v>
      </c>
      <c r="E27">
        <v>385</v>
      </c>
      <c r="F27">
        <v>380</v>
      </c>
      <c r="G27">
        <v>400</v>
      </c>
      <c r="H27" t="s">
        <v>429</v>
      </c>
      <c r="I27" t="s">
        <v>692</v>
      </c>
    </row>
    <row r="29" spans="1:9" x14ac:dyDescent="0.35">
      <c r="A29" s="2" t="s">
        <v>698</v>
      </c>
      <c r="B29" s="3"/>
      <c r="C29" s="3"/>
      <c r="D29" s="3"/>
      <c r="E29" s="3"/>
      <c r="F29" s="3"/>
      <c r="G29" s="3"/>
      <c r="H29" s="3"/>
      <c r="I29" s="3"/>
    </row>
    <row r="30" spans="1:9" x14ac:dyDescent="0.35">
      <c r="A30" t="s">
        <v>685</v>
      </c>
      <c r="B30" t="s">
        <v>699</v>
      </c>
      <c r="C30">
        <v>0.22</v>
      </c>
      <c r="D30" t="s">
        <v>665</v>
      </c>
      <c r="E30">
        <v>0.22</v>
      </c>
      <c r="F30">
        <v>0.15</v>
      </c>
      <c r="G30">
        <v>0.3</v>
      </c>
      <c r="H30" t="s">
        <v>687</v>
      </c>
      <c r="I30" t="s">
        <v>692</v>
      </c>
    </row>
    <row r="31" spans="1:9" x14ac:dyDescent="0.35">
      <c r="A31" t="s">
        <v>670</v>
      </c>
      <c r="B31" t="s">
        <v>700</v>
      </c>
      <c r="C31">
        <v>1900</v>
      </c>
      <c r="D31" t="s">
        <v>672</v>
      </c>
      <c r="E31">
        <v>1900</v>
      </c>
      <c r="F31">
        <v>1700</v>
      </c>
      <c r="G31">
        <v>2100</v>
      </c>
      <c r="H31" t="s">
        <v>429</v>
      </c>
      <c r="I31" t="s">
        <v>692</v>
      </c>
    </row>
    <row r="33" spans="1:9" x14ac:dyDescent="0.35">
      <c r="A33" s="2" t="s">
        <v>701</v>
      </c>
      <c r="B33" s="3"/>
      <c r="C33" s="3"/>
      <c r="D33" s="3"/>
      <c r="E33" s="3"/>
      <c r="F33" s="3"/>
      <c r="G33" s="3"/>
      <c r="H33" s="3"/>
      <c r="I33" s="3"/>
    </row>
    <row r="34" spans="1:9" x14ac:dyDescent="0.35">
      <c r="A34" t="s">
        <v>702</v>
      </c>
      <c r="B34" t="s">
        <v>703</v>
      </c>
      <c r="C34">
        <v>25</v>
      </c>
      <c r="D34" t="s">
        <v>665</v>
      </c>
      <c r="E34">
        <v>25</v>
      </c>
      <c r="F34">
        <v>10</v>
      </c>
      <c r="G34">
        <v>40</v>
      </c>
      <c r="H34" t="s">
        <v>704</v>
      </c>
      <c r="I34" t="s">
        <v>63</v>
      </c>
    </row>
    <row r="35" spans="1:9" x14ac:dyDescent="0.35">
      <c r="A35" t="s">
        <v>705</v>
      </c>
      <c r="B35" t="s">
        <v>706</v>
      </c>
      <c r="C35">
        <v>0.8</v>
      </c>
      <c r="D35" t="s">
        <v>665</v>
      </c>
      <c r="E35">
        <v>0.8</v>
      </c>
      <c r="F35">
        <v>0.3</v>
      </c>
      <c r="G35">
        <v>2</v>
      </c>
      <c r="H35" t="s">
        <v>707</v>
      </c>
      <c r="I35" t="s">
        <v>63</v>
      </c>
    </row>
    <row r="36" spans="1:9" x14ac:dyDescent="0.35">
      <c r="A36" t="s">
        <v>708</v>
      </c>
      <c r="B36" t="s">
        <v>709</v>
      </c>
      <c r="C36">
        <v>1100</v>
      </c>
      <c r="D36" t="s">
        <v>672</v>
      </c>
      <c r="E36">
        <v>1100</v>
      </c>
      <c r="F36">
        <v>900</v>
      </c>
      <c r="G36">
        <v>1400</v>
      </c>
      <c r="H36" t="s">
        <v>710</v>
      </c>
      <c r="I36" t="s">
        <v>63</v>
      </c>
    </row>
    <row r="37" spans="1:9" x14ac:dyDescent="0.35">
      <c r="A37" t="s">
        <v>338</v>
      </c>
      <c r="B37" t="s">
        <v>711</v>
      </c>
      <c r="C37">
        <v>2200</v>
      </c>
      <c r="D37" t="s">
        <v>56</v>
      </c>
      <c r="E37">
        <v>2200</v>
      </c>
      <c r="F37">
        <v>1800</v>
      </c>
      <c r="G37">
        <v>2800</v>
      </c>
      <c r="H37" t="s">
        <v>712</v>
      </c>
      <c r="I37" t="s">
        <v>63</v>
      </c>
    </row>
  </sheetData>
  <mergeCells count="8">
    <mergeCell ref="A29:I29"/>
    <mergeCell ref="A7:I7"/>
    <mergeCell ref="A25:I25"/>
    <mergeCell ref="A2:I2"/>
    <mergeCell ref="A33:I33"/>
    <mergeCell ref="A17:I17"/>
    <mergeCell ref="A12:I12"/>
    <mergeCell ref="A21:I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2"/>
  <sheetViews>
    <sheetView workbookViewId="0"/>
  </sheetViews>
  <sheetFormatPr defaultRowHeight="14.5" x14ac:dyDescent="0.35"/>
  <cols>
    <col min="1" max="1" width="35" customWidth="1"/>
    <col min="2" max="2" width="12" customWidth="1"/>
    <col min="3" max="3" width="15" customWidth="1"/>
    <col min="4" max="4" width="12" customWidth="1"/>
    <col min="5" max="5" width="15" customWidth="1"/>
    <col min="6" max="7" width="10" customWidth="1"/>
    <col min="8" max="8" width="50" customWidth="1"/>
    <col min="9" max="9" width="3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713</v>
      </c>
      <c r="B2" s="3"/>
      <c r="C2" s="3"/>
      <c r="D2" s="3"/>
      <c r="E2" s="3"/>
      <c r="F2" s="3"/>
      <c r="G2" s="3"/>
      <c r="H2" s="3"/>
      <c r="I2" s="3"/>
    </row>
    <row r="3" spans="1:9" x14ac:dyDescent="0.35">
      <c r="A3" t="s">
        <v>714</v>
      </c>
      <c r="B3" t="s">
        <v>715</v>
      </c>
      <c r="C3">
        <v>5</v>
      </c>
      <c r="D3" t="s">
        <v>716</v>
      </c>
      <c r="E3">
        <v>5</v>
      </c>
      <c r="F3">
        <v>1</v>
      </c>
      <c r="G3">
        <v>15</v>
      </c>
      <c r="H3" t="s">
        <v>717</v>
      </c>
      <c r="I3" t="s">
        <v>205</v>
      </c>
    </row>
    <row r="4" spans="1:9" x14ac:dyDescent="0.35">
      <c r="A4" t="s">
        <v>718</v>
      </c>
      <c r="B4" t="s">
        <v>719</v>
      </c>
      <c r="C4">
        <v>0.5</v>
      </c>
      <c r="D4" t="s">
        <v>716</v>
      </c>
      <c r="E4">
        <v>0.5</v>
      </c>
      <c r="F4">
        <v>0.1</v>
      </c>
      <c r="G4">
        <v>2</v>
      </c>
      <c r="H4" t="s">
        <v>720</v>
      </c>
      <c r="I4" t="s">
        <v>205</v>
      </c>
    </row>
    <row r="5" spans="1:9" x14ac:dyDescent="0.35">
      <c r="A5" t="s">
        <v>721</v>
      </c>
      <c r="B5" t="s">
        <v>722</v>
      </c>
      <c r="C5">
        <v>0.3</v>
      </c>
      <c r="D5" t="s">
        <v>51</v>
      </c>
      <c r="E5">
        <v>0.3</v>
      </c>
      <c r="F5">
        <v>0.2</v>
      </c>
      <c r="G5">
        <v>0.4</v>
      </c>
      <c r="H5" t="s">
        <v>723</v>
      </c>
      <c r="I5" t="s">
        <v>193</v>
      </c>
    </row>
    <row r="6" spans="1:9" x14ac:dyDescent="0.35">
      <c r="A6" t="s">
        <v>724</v>
      </c>
      <c r="B6" t="s">
        <v>725</v>
      </c>
      <c r="C6">
        <v>10</v>
      </c>
      <c r="D6" t="s">
        <v>726</v>
      </c>
      <c r="E6">
        <v>10</v>
      </c>
      <c r="F6">
        <v>5</v>
      </c>
      <c r="G6">
        <v>20</v>
      </c>
      <c r="H6" t="s">
        <v>727</v>
      </c>
      <c r="I6" t="s">
        <v>205</v>
      </c>
    </row>
    <row r="8" spans="1:9" x14ac:dyDescent="0.35">
      <c r="A8" s="2" t="s">
        <v>728</v>
      </c>
      <c r="B8" s="3"/>
      <c r="C8" s="3"/>
      <c r="D8" s="3"/>
      <c r="E8" s="3"/>
      <c r="F8" s="3"/>
      <c r="G8" s="3"/>
      <c r="H8" s="3"/>
      <c r="I8" s="3"/>
    </row>
    <row r="9" spans="1:9" x14ac:dyDescent="0.35">
      <c r="A9" t="s">
        <v>714</v>
      </c>
      <c r="B9" t="s">
        <v>729</v>
      </c>
      <c r="C9">
        <v>10</v>
      </c>
      <c r="D9" t="s">
        <v>716</v>
      </c>
      <c r="E9">
        <v>10</v>
      </c>
      <c r="F9">
        <v>5</v>
      </c>
      <c r="G9">
        <v>20</v>
      </c>
      <c r="H9" t="s">
        <v>717</v>
      </c>
      <c r="I9" t="s">
        <v>205</v>
      </c>
    </row>
    <row r="10" spans="1:9" x14ac:dyDescent="0.35">
      <c r="A10" t="s">
        <v>718</v>
      </c>
      <c r="B10" t="s">
        <v>730</v>
      </c>
      <c r="C10">
        <v>1</v>
      </c>
      <c r="D10" t="s">
        <v>716</v>
      </c>
      <c r="E10">
        <v>1</v>
      </c>
      <c r="F10">
        <v>0.3</v>
      </c>
      <c r="G10">
        <v>3</v>
      </c>
      <c r="H10" t="s">
        <v>720</v>
      </c>
      <c r="I10" t="s">
        <v>205</v>
      </c>
    </row>
    <row r="11" spans="1:9" x14ac:dyDescent="0.35">
      <c r="A11" t="s">
        <v>721</v>
      </c>
      <c r="B11" t="s">
        <v>731</v>
      </c>
      <c r="C11">
        <v>0.25</v>
      </c>
      <c r="D11" t="s">
        <v>51</v>
      </c>
      <c r="E11">
        <v>0.25</v>
      </c>
      <c r="F11">
        <v>0.15</v>
      </c>
      <c r="G11">
        <v>0.35</v>
      </c>
      <c r="H11" t="s">
        <v>723</v>
      </c>
      <c r="I11" t="s">
        <v>193</v>
      </c>
    </row>
    <row r="12" spans="1:9" x14ac:dyDescent="0.35">
      <c r="A12" t="s">
        <v>724</v>
      </c>
      <c r="B12" t="s">
        <v>732</v>
      </c>
      <c r="C12">
        <v>5</v>
      </c>
      <c r="D12" t="s">
        <v>726</v>
      </c>
      <c r="E12">
        <v>5</v>
      </c>
      <c r="F12">
        <v>2</v>
      </c>
      <c r="G12">
        <v>10</v>
      </c>
      <c r="H12" t="s">
        <v>733</v>
      </c>
      <c r="I12" t="s">
        <v>205</v>
      </c>
    </row>
    <row r="14" spans="1:9" x14ac:dyDescent="0.35">
      <c r="A14" s="2" t="s">
        <v>734</v>
      </c>
      <c r="B14" s="3"/>
      <c r="C14" s="3"/>
      <c r="D14" s="3"/>
      <c r="E14" s="3"/>
      <c r="F14" s="3"/>
      <c r="G14" s="3"/>
      <c r="H14" s="3"/>
      <c r="I14" s="3"/>
    </row>
    <row r="15" spans="1:9" x14ac:dyDescent="0.35">
      <c r="A15" t="s">
        <v>735</v>
      </c>
      <c r="B15" t="s">
        <v>736</v>
      </c>
      <c r="C15">
        <v>0.8</v>
      </c>
      <c r="D15" t="s">
        <v>716</v>
      </c>
      <c r="E15">
        <v>0.8</v>
      </c>
      <c r="F15">
        <v>0.3</v>
      </c>
      <c r="G15">
        <v>2</v>
      </c>
      <c r="H15" t="s">
        <v>737</v>
      </c>
      <c r="I15" t="s">
        <v>205</v>
      </c>
    </row>
    <row r="16" spans="1:9" x14ac:dyDescent="0.35">
      <c r="A16" t="s">
        <v>738</v>
      </c>
      <c r="B16" t="s">
        <v>739</v>
      </c>
      <c r="C16">
        <v>0.5</v>
      </c>
      <c r="D16" t="s">
        <v>716</v>
      </c>
      <c r="E16">
        <v>0.5</v>
      </c>
      <c r="F16">
        <v>0.2</v>
      </c>
      <c r="G16">
        <v>1</v>
      </c>
      <c r="H16" t="s">
        <v>740</v>
      </c>
      <c r="I16" t="s">
        <v>205</v>
      </c>
    </row>
    <row r="17" spans="1:9" x14ac:dyDescent="0.35">
      <c r="A17" t="s">
        <v>721</v>
      </c>
      <c r="B17" t="s">
        <v>741</v>
      </c>
      <c r="C17">
        <v>0.35</v>
      </c>
      <c r="D17" t="s">
        <v>51</v>
      </c>
      <c r="E17">
        <v>0.35</v>
      </c>
      <c r="F17">
        <v>0.25</v>
      </c>
      <c r="G17">
        <v>0.45</v>
      </c>
      <c r="H17" t="s">
        <v>683</v>
      </c>
      <c r="I17" t="s">
        <v>205</v>
      </c>
    </row>
    <row r="18" spans="1:9" x14ac:dyDescent="0.35">
      <c r="A18" t="s">
        <v>742</v>
      </c>
      <c r="B18" t="s">
        <v>743</v>
      </c>
      <c r="C18">
        <v>100</v>
      </c>
      <c r="D18" t="s">
        <v>726</v>
      </c>
      <c r="E18">
        <v>100</v>
      </c>
      <c r="F18">
        <v>50</v>
      </c>
      <c r="G18">
        <v>200</v>
      </c>
      <c r="H18" t="s">
        <v>744</v>
      </c>
      <c r="I18" t="s">
        <v>205</v>
      </c>
    </row>
    <row r="19" spans="1:9" x14ac:dyDescent="0.35">
      <c r="A19" t="s">
        <v>745</v>
      </c>
      <c r="B19" t="s">
        <v>746</v>
      </c>
      <c r="C19">
        <v>150</v>
      </c>
      <c r="D19" t="s">
        <v>726</v>
      </c>
      <c r="E19">
        <v>150</v>
      </c>
      <c r="F19">
        <v>80</v>
      </c>
      <c r="G19">
        <v>250</v>
      </c>
      <c r="H19" t="s">
        <v>744</v>
      </c>
      <c r="I19" t="s">
        <v>205</v>
      </c>
    </row>
    <row r="21" spans="1:9" x14ac:dyDescent="0.35">
      <c r="A21" s="2" t="s">
        <v>747</v>
      </c>
      <c r="B21" s="3"/>
      <c r="C21" s="3"/>
      <c r="D21" s="3"/>
      <c r="E21" s="3"/>
      <c r="F21" s="3"/>
      <c r="G21" s="3"/>
      <c r="H21" s="3"/>
      <c r="I21" s="3"/>
    </row>
    <row r="22" spans="1:9" x14ac:dyDescent="0.35">
      <c r="A22" t="s">
        <v>748</v>
      </c>
      <c r="B22" t="s">
        <v>749</v>
      </c>
      <c r="C22">
        <v>70</v>
      </c>
      <c r="D22" t="s">
        <v>716</v>
      </c>
      <c r="E22">
        <v>70</v>
      </c>
      <c r="F22">
        <v>68</v>
      </c>
      <c r="G22">
        <v>72</v>
      </c>
      <c r="H22" t="s">
        <v>58</v>
      </c>
      <c r="I22" t="s">
        <v>692</v>
      </c>
    </row>
    <row r="23" spans="1:9" x14ac:dyDescent="0.35">
      <c r="A23" t="s">
        <v>721</v>
      </c>
      <c r="B23" t="s">
        <v>750</v>
      </c>
      <c r="C23">
        <v>0.33</v>
      </c>
      <c r="D23" t="s">
        <v>51</v>
      </c>
      <c r="E23">
        <v>0.33</v>
      </c>
      <c r="F23">
        <v>0.32</v>
      </c>
      <c r="G23">
        <v>0.34</v>
      </c>
      <c r="H23" t="s">
        <v>186</v>
      </c>
      <c r="I23" t="s">
        <v>692</v>
      </c>
    </row>
    <row r="24" spans="1:9" x14ac:dyDescent="0.35">
      <c r="A24" t="s">
        <v>724</v>
      </c>
      <c r="B24" t="s">
        <v>751</v>
      </c>
      <c r="C24">
        <v>23</v>
      </c>
      <c r="D24" t="s">
        <v>726</v>
      </c>
      <c r="E24">
        <v>23</v>
      </c>
      <c r="F24">
        <v>22</v>
      </c>
      <c r="G24">
        <v>25</v>
      </c>
      <c r="H24" t="s">
        <v>429</v>
      </c>
      <c r="I24" t="s">
        <v>692</v>
      </c>
    </row>
    <row r="25" spans="1:9" x14ac:dyDescent="0.35">
      <c r="A25" t="s">
        <v>752</v>
      </c>
      <c r="B25" t="s">
        <v>753</v>
      </c>
      <c r="C25">
        <v>145</v>
      </c>
      <c r="D25" t="s">
        <v>506</v>
      </c>
      <c r="E25">
        <v>145</v>
      </c>
      <c r="F25">
        <v>100</v>
      </c>
      <c r="G25">
        <v>200</v>
      </c>
      <c r="H25" t="s">
        <v>754</v>
      </c>
      <c r="I25" t="s">
        <v>692</v>
      </c>
    </row>
    <row r="27" spans="1:9" x14ac:dyDescent="0.35">
      <c r="A27" s="2" t="s">
        <v>755</v>
      </c>
      <c r="B27" s="3"/>
      <c r="C27" s="3"/>
      <c r="D27" s="3"/>
      <c r="E27" s="3"/>
      <c r="F27" s="3"/>
      <c r="G27" s="3"/>
      <c r="H27" s="3"/>
      <c r="I27" s="3"/>
    </row>
    <row r="28" spans="1:9" x14ac:dyDescent="0.35">
      <c r="A28" t="s">
        <v>748</v>
      </c>
      <c r="B28" t="s">
        <v>756</v>
      </c>
      <c r="C28">
        <v>120</v>
      </c>
      <c r="D28" t="s">
        <v>716</v>
      </c>
      <c r="E28">
        <v>120</v>
      </c>
      <c r="F28">
        <v>110</v>
      </c>
      <c r="G28">
        <v>130</v>
      </c>
      <c r="H28" t="s">
        <v>696</v>
      </c>
      <c r="I28" t="s">
        <v>692</v>
      </c>
    </row>
    <row r="29" spans="1:9" x14ac:dyDescent="0.35">
      <c r="A29" t="s">
        <v>721</v>
      </c>
      <c r="B29" t="s">
        <v>757</v>
      </c>
      <c r="C29">
        <v>0.34</v>
      </c>
      <c r="D29" t="s">
        <v>51</v>
      </c>
      <c r="E29">
        <v>0.34</v>
      </c>
      <c r="F29">
        <v>0.33</v>
      </c>
      <c r="G29">
        <v>0.35</v>
      </c>
      <c r="H29" t="s">
        <v>186</v>
      </c>
      <c r="I29" t="s">
        <v>692</v>
      </c>
    </row>
    <row r="30" spans="1:9" x14ac:dyDescent="0.35">
      <c r="A30" t="s">
        <v>724</v>
      </c>
      <c r="B30" t="s">
        <v>758</v>
      </c>
      <c r="C30">
        <v>17</v>
      </c>
      <c r="D30" t="s">
        <v>726</v>
      </c>
      <c r="E30">
        <v>17</v>
      </c>
      <c r="F30">
        <v>16</v>
      </c>
      <c r="G30">
        <v>18</v>
      </c>
      <c r="H30" t="s">
        <v>429</v>
      </c>
      <c r="I30" t="s">
        <v>692</v>
      </c>
    </row>
    <row r="31" spans="1:9" x14ac:dyDescent="0.35">
      <c r="A31" t="s">
        <v>752</v>
      </c>
      <c r="B31" t="s">
        <v>759</v>
      </c>
      <c r="C31">
        <v>220</v>
      </c>
      <c r="D31" t="s">
        <v>506</v>
      </c>
      <c r="E31">
        <v>220</v>
      </c>
      <c r="F31">
        <v>150</v>
      </c>
      <c r="G31">
        <v>300</v>
      </c>
      <c r="H31" t="s">
        <v>760</v>
      </c>
      <c r="I31" t="s">
        <v>692</v>
      </c>
    </row>
    <row r="33" spans="1:9" x14ac:dyDescent="0.35">
      <c r="A33" s="2" t="s">
        <v>761</v>
      </c>
      <c r="B33" s="3"/>
      <c r="C33" s="3"/>
      <c r="D33" s="3"/>
      <c r="E33" s="3"/>
      <c r="F33" s="3"/>
      <c r="G33" s="3"/>
      <c r="H33" s="3"/>
      <c r="I33" s="3"/>
    </row>
    <row r="34" spans="1:9" x14ac:dyDescent="0.35">
      <c r="A34" t="s">
        <v>748</v>
      </c>
      <c r="B34" t="s">
        <v>762</v>
      </c>
      <c r="C34">
        <v>1.5</v>
      </c>
      <c r="D34" t="s">
        <v>716</v>
      </c>
      <c r="E34">
        <v>1.5</v>
      </c>
      <c r="F34">
        <v>1</v>
      </c>
      <c r="G34">
        <v>2.5</v>
      </c>
      <c r="H34" t="s">
        <v>763</v>
      </c>
      <c r="I34" t="s">
        <v>692</v>
      </c>
    </row>
    <row r="35" spans="1:9" x14ac:dyDescent="0.35">
      <c r="A35" t="s">
        <v>721</v>
      </c>
      <c r="B35" t="s">
        <v>764</v>
      </c>
      <c r="C35">
        <v>0.4</v>
      </c>
      <c r="D35" t="s">
        <v>51</v>
      </c>
      <c r="E35">
        <v>0.4</v>
      </c>
      <c r="F35">
        <v>0.35</v>
      </c>
      <c r="G35">
        <v>0.45</v>
      </c>
      <c r="H35" t="s">
        <v>765</v>
      </c>
      <c r="I35" t="s">
        <v>692</v>
      </c>
    </row>
    <row r="36" spans="1:9" x14ac:dyDescent="0.35">
      <c r="A36" t="s">
        <v>724</v>
      </c>
      <c r="B36" t="s">
        <v>766</v>
      </c>
      <c r="C36">
        <v>150</v>
      </c>
      <c r="D36" t="s">
        <v>726</v>
      </c>
      <c r="E36">
        <v>150</v>
      </c>
      <c r="F36">
        <v>100</v>
      </c>
      <c r="G36">
        <v>200</v>
      </c>
      <c r="H36" t="s">
        <v>744</v>
      </c>
      <c r="I36" t="s">
        <v>692</v>
      </c>
    </row>
    <row r="38" spans="1:9" x14ac:dyDescent="0.35">
      <c r="A38" s="2" t="s">
        <v>767</v>
      </c>
      <c r="B38" s="3"/>
      <c r="C38" s="3"/>
      <c r="D38" s="3"/>
      <c r="E38" s="3"/>
      <c r="F38" s="3"/>
      <c r="G38" s="3"/>
      <c r="H38" s="3"/>
      <c r="I38" s="3"/>
    </row>
    <row r="39" spans="1:9" x14ac:dyDescent="0.35">
      <c r="A39" t="s">
        <v>768</v>
      </c>
      <c r="B39" t="s">
        <v>769</v>
      </c>
      <c r="C39">
        <v>8</v>
      </c>
      <c r="D39" t="s">
        <v>716</v>
      </c>
      <c r="E39">
        <v>8</v>
      </c>
      <c r="F39">
        <v>3</v>
      </c>
      <c r="G39">
        <v>15</v>
      </c>
      <c r="H39" t="s">
        <v>770</v>
      </c>
      <c r="I39" t="s">
        <v>63</v>
      </c>
    </row>
    <row r="40" spans="1:9" x14ac:dyDescent="0.35">
      <c r="A40" t="s">
        <v>771</v>
      </c>
      <c r="B40" t="s">
        <v>772</v>
      </c>
      <c r="C40">
        <v>0.3</v>
      </c>
      <c r="D40" t="s">
        <v>716</v>
      </c>
      <c r="E40">
        <v>0.3</v>
      </c>
      <c r="F40">
        <v>0.1</v>
      </c>
      <c r="G40">
        <v>1</v>
      </c>
      <c r="H40" t="s">
        <v>773</v>
      </c>
      <c r="I40" t="s">
        <v>63</v>
      </c>
    </row>
    <row r="41" spans="1:9" x14ac:dyDescent="0.35">
      <c r="A41" t="s">
        <v>774</v>
      </c>
      <c r="B41" t="s">
        <v>775</v>
      </c>
      <c r="C41">
        <v>0.3</v>
      </c>
      <c r="D41" t="s">
        <v>51</v>
      </c>
      <c r="E41">
        <v>0.3</v>
      </c>
      <c r="F41">
        <v>0.2</v>
      </c>
      <c r="G41">
        <v>0.4</v>
      </c>
      <c r="H41" t="s">
        <v>776</v>
      </c>
      <c r="I41" t="s">
        <v>63</v>
      </c>
    </row>
    <row r="42" spans="1:9" x14ac:dyDescent="0.35">
      <c r="A42" t="s">
        <v>777</v>
      </c>
      <c r="B42" t="s">
        <v>778</v>
      </c>
      <c r="C42">
        <v>15</v>
      </c>
      <c r="D42" t="s">
        <v>726</v>
      </c>
      <c r="E42">
        <v>15</v>
      </c>
      <c r="F42">
        <v>5</v>
      </c>
      <c r="G42">
        <v>30</v>
      </c>
      <c r="H42" t="s">
        <v>776</v>
      </c>
      <c r="I42" t="s">
        <v>63</v>
      </c>
    </row>
  </sheetData>
  <mergeCells count="7">
    <mergeCell ref="A38:I38"/>
    <mergeCell ref="A21:I21"/>
    <mergeCell ref="A2:I2"/>
    <mergeCell ref="A33:I33"/>
    <mergeCell ref="A14:I14"/>
    <mergeCell ref="A27:I27"/>
    <mergeCell ref="A8:I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4"/>
  <sheetViews>
    <sheetView workbookViewId="0"/>
  </sheetViews>
  <sheetFormatPr defaultRowHeight="14.5" x14ac:dyDescent="0.35"/>
  <cols>
    <col min="1" max="1" width="35" customWidth="1"/>
    <col min="2" max="2" width="12" customWidth="1"/>
    <col min="3" max="3" width="15" customWidth="1"/>
    <col min="4" max="4" width="12" customWidth="1"/>
    <col min="5" max="5" width="15" customWidth="1"/>
    <col min="6" max="7" width="10" customWidth="1"/>
    <col min="8" max="8" width="50" customWidth="1"/>
    <col min="9" max="9" width="3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779</v>
      </c>
      <c r="B2" s="3"/>
      <c r="C2" s="3"/>
      <c r="D2" s="3"/>
      <c r="E2" s="3"/>
      <c r="F2" s="3"/>
      <c r="G2" s="3"/>
      <c r="H2" s="3"/>
      <c r="I2" s="3"/>
    </row>
    <row r="3" spans="1:9" x14ac:dyDescent="0.35">
      <c r="A3" t="s">
        <v>780</v>
      </c>
      <c r="B3" t="s">
        <v>781</v>
      </c>
      <c r="C3">
        <v>0.5</v>
      </c>
      <c r="D3" t="s">
        <v>782</v>
      </c>
      <c r="E3">
        <v>0.5</v>
      </c>
      <c r="F3">
        <v>0.1</v>
      </c>
      <c r="G3">
        <v>5</v>
      </c>
      <c r="H3" t="s">
        <v>783</v>
      </c>
      <c r="I3" t="s">
        <v>205</v>
      </c>
    </row>
    <row r="4" spans="1:9" x14ac:dyDescent="0.35">
      <c r="A4" t="s">
        <v>784</v>
      </c>
      <c r="B4" t="s">
        <v>785</v>
      </c>
      <c r="C4">
        <v>100</v>
      </c>
      <c r="D4" t="s">
        <v>782</v>
      </c>
      <c r="E4">
        <v>100</v>
      </c>
      <c r="F4">
        <v>50</v>
      </c>
      <c r="G4">
        <v>500</v>
      </c>
      <c r="H4" t="s">
        <v>786</v>
      </c>
      <c r="I4" t="s">
        <v>205</v>
      </c>
    </row>
    <row r="6" spans="1:9" x14ac:dyDescent="0.35">
      <c r="A6" s="2" t="s">
        <v>787</v>
      </c>
      <c r="B6" s="3"/>
      <c r="C6" s="3"/>
      <c r="D6" s="3"/>
      <c r="E6" s="3"/>
      <c r="F6" s="3"/>
      <c r="G6" s="3"/>
      <c r="H6" s="3"/>
      <c r="I6" s="3"/>
    </row>
    <row r="7" spans="1:9" x14ac:dyDescent="0.35">
      <c r="A7" t="s">
        <v>788</v>
      </c>
      <c r="B7" t="s">
        <v>789</v>
      </c>
      <c r="C7">
        <v>37700000</v>
      </c>
      <c r="D7" t="s">
        <v>782</v>
      </c>
      <c r="E7">
        <v>37700000</v>
      </c>
      <c r="F7">
        <v>35000000</v>
      </c>
      <c r="G7">
        <v>40000000</v>
      </c>
      <c r="H7" t="s">
        <v>790</v>
      </c>
      <c r="I7" t="s">
        <v>692</v>
      </c>
    </row>
    <row r="8" spans="1:9" x14ac:dyDescent="0.35">
      <c r="A8" t="s">
        <v>791</v>
      </c>
      <c r="B8" t="s">
        <v>792</v>
      </c>
      <c r="C8">
        <v>59600000</v>
      </c>
      <c r="D8" t="s">
        <v>782</v>
      </c>
      <c r="E8">
        <v>59600000</v>
      </c>
      <c r="F8">
        <v>55000000</v>
      </c>
      <c r="G8">
        <v>60000000</v>
      </c>
      <c r="H8" t="s">
        <v>696</v>
      </c>
      <c r="I8" t="s">
        <v>692</v>
      </c>
    </row>
    <row r="10" spans="1:9" x14ac:dyDescent="0.35">
      <c r="A10" s="2" t="s">
        <v>793</v>
      </c>
      <c r="B10" s="3"/>
      <c r="C10" s="3"/>
      <c r="D10" s="3"/>
      <c r="E10" s="3"/>
      <c r="F10" s="3"/>
      <c r="G10" s="3"/>
      <c r="H10" s="3"/>
      <c r="I10" s="3"/>
    </row>
    <row r="11" spans="1:9" x14ac:dyDescent="0.35">
      <c r="A11" t="s">
        <v>794</v>
      </c>
      <c r="B11" t="s">
        <v>795</v>
      </c>
      <c r="C11">
        <v>1</v>
      </c>
      <c r="D11" t="s">
        <v>782</v>
      </c>
      <c r="E11">
        <v>1</v>
      </c>
      <c r="F11">
        <v>0.5</v>
      </c>
      <c r="G11">
        <v>1.5</v>
      </c>
      <c r="H11" t="s">
        <v>429</v>
      </c>
      <c r="I11" t="s">
        <v>205</v>
      </c>
    </row>
    <row r="12" spans="1:9" x14ac:dyDescent="0.35">
      <c r="A12" t="s">
        <v>796</v>
      </c>
      <c r="B12" t="s">
        <v>797</v>
      </c>
      <c r="C12">
        <v>1.5</v>
      </c>
      <c r="D12" t="s">
        <v>782</v>
      </c>
      <c r="E12">
        <v>1.5</v>
      </c>
      <c r="F12">
        <v>1</v>
      </c>
      <c r="G12">
        <v>2</v>
      </c>
      <c r="H12" t="s">
        <v>798</v>
      </c>
      <c r="I12" t="s">
        <v>205</v>
      </c>
    </row>
    <row r="13" spans="1:9" x14ac:dyDescent="0.35">
      <c r="A13" t="s">
        <v>799</v>
      </c>
      <c r="B13" t="s">
        <v>800</v>
      </c>
      <c r="C13">
        <v>15</v>
      </c>
      <c r="D13" t="s">
        <v>801</v>
      </c>
      <c r="E13">
        <v>15</v>
      </c>
      <c r="F13">
        <v>10</v>
      </c>
      <c r="G13">
        <v>25</v>
      </c>
      <c r="H13" t="s">
        <v>802</v>
      </c>
      <c r="I13" t="s">
        <v>205</v>
      </c>
    </row>
    <row r="14" spans="1:9" x14ac:dyDescent="0.35">
      <c r="A14" t="s">
        <v>803</v>
      </c>
      <c r="B14" t="s">
        <v>804</v>
      </c>
      <c r="C14">
        <v>0.38</v>
      </c>
      <c r="D14" t="s">
        <v>51</v>
      </c>
      <c r="E14">
        <v>0.38</v>
      </c>
      <c r="F14">
        <v>0.3</v>
      </c>
      <c r="G14">
        <v>0.5</v>
      </c>
      <c r="H14" t="s">
        <v>805</v>
      </c>
      <c r="I14" t="s">
        <v>205</v>
      </c>
    </row>
    <row r="16" spans="1:9" x14ac:dyDescent="0.35">
      <c r="A16" s="2" t="s">
        <v>806</v>
      </c>
      <c r="B16" s="3"/>
      <c r="C16" s="3"/>
      <c r="D16" s="3"/>
      <c r="E16" s="3"/>
      <c r="F16" s="3"/>
      <c r="G16" s="3"/>
      <c r="H16" s="3"/>
      <c r="I16" s="3"/>
    </row>
    <row r="17" spans="1:9" x14ac:dyDescent="0.35">
      <c r="A17" t="s">
        <v>807</v>
      </c>
      <c r="B17" t="s">
        <v>808</v>
      </c>
      <c r="C17">
        <v>1E-14</v>
      </c>
      <c r="D17" t="s">
        <v>782</v>
      </c>
      <c r="E17">
        <v>1E-14</v>
      </c>
      <c r="F17">
        <v>9.9999999999999998E-17</v>
      </c>
      <c r="G17">
        <v>9.9999999999999998E-13</v>
      </c>
      <c r="H17" t="s">
        <v>809</v>
      </c>
      <c r="I17" t="s">
        <v>692</v>
      </c>
    </row>
    <row r="18" spans="1:9" x14ac:dyDescent="0.35">
      <c r="A18" t="s">
        <v>810</v>
      </c>
      <c r="B18" t="s">
        <v>811</v>
      </c>
      <c r="C18">
        <v>1E-14</v>
      </c>
      <c r="D18" t="s">
        <v>782</v>
      </c>
      <c r="E18">
        <v>1E-14</v>
      </c>
      <c r="F18">
        <v>9.9999999999999998E-17</v>
      </c>
      <c r="G18">
        <v>9.9999999999999998E-13</v>
      </c>
      <c r="H18" t="s">
        <v>809</v>
      </c>
      <c r="I18" t="s">
        <v>692</v>
      </c>
    </row>
    <row r="19" spans="1:9" x14ac:dyDescent="0.35">
      <c r="A19" t="s">
        <v>812</v>
      </c>
      <c r="B19" t="s">
        <v>813</v>
      </c>
      <c r="C19">
        <v>0.3</v>
      </c>
      <c r="D19" t="s">
        <v>782</v>
      </c>
      <c r="E19">
        <v>0.3</v>
      </c>
      <c r="F19">
        <v>0.1</v>
      </c>
      <c r="G19">
        <v>0.8</v>
      </c>
      <c r="H19" t="s">
        <v>814</v>
      </c>
      <c r="I19" t="s">
        <v>63</v>
      </c>
    </row>
    <row r="21" spans="1:9" x14ac:dyDescent="0.35">
      <c r="A21" s="2" t="s">
        <v>815</v>
      </c>
      <c r="B21" s="3"/>
      <c r="C21" s="3"/>
      <c r="D21" s="3"/>
      <c r="E21" s="3"/>
      <c r="F21" s="3"/>
      <c r="G21" s="3"/>
      <c r="H21" s="3"/>
      <c r="I21" s="3"/>
    </row>
    <row r="22" spans="1:9" x14ac:dyDescent="0.35">
      <c r="A22" t="s">
        <v>816</v>
      </c>
      <c r="B22" t="s">
        <v>817</v>
      </c>
      <c r="C22">
        <v>9.9999999999999995E-7</v>
      </c>
      <c r="D22" t="s">
        <v>818</v>
      </c>
      <c r="E22">
        <v>9.9999999999999995E-7</v>
      </c>
      <c r="F22">
        <v>9.9999999999999995E-8</v>
      </c>
      <c r="G22">
        <v>1.0000000000000001E-5</v>
      </c>
      <c r="H22" t="s">
        <v>819</v>
      </c>
      <c r="I22" t="s">
        <v>193</v>
      </c>
    </row>
    <row r="23" spans="1:9" x14ac:dyDescent="0.35">
      <c r="A23" t="s">
        <v>820</v>
      </c>
      <c r="B23" t="s">
        <v>821</v>
      </c>
      <c r="C23">
        <v>4.9999999999999998E-7</v>
      </c>
      <c r="D23" t="s">
        <v>818</v>
      </c>
      <c r="E23">
        <v>4.9999999999999998E-7</v>
      </c>
      <c r="F23">
        <v>9.9999999999999995E-8</v>
      </c>
      <c r="G23">
        <v>9.9999999999999995E-7</v>
      </c>
      <c r="H23" t="s">
        <v>822</v>
      </c>
      <c r="I23" t="s">
        <v>193</v>
      </c>
    </row>
    <row r="24" spans="1:9" x14ac:dyDescent="0.35">
      <c r="A24" t="s">
        <v>823</v>
      </c>
      <c r="B24" t="s">
        <v>824</v>
      </c>
      <c r="C24">
        <v>1.0000000000000001E-5</v>
      </c>
      <c r="D24" t="s">
        <v>818</v>
      </c>
      <c r="E24">
        <v>1.0000000000000001E-5</v>
      </c>
      <c r="F24">
        <v>9.9999999999999995E-7</v>
      </c>
      <c r="G24">
        <v>1E-4</v>
      </c>
      <c r="H24" t="s">
        <v>825</v>
      </c>
      <c r="I24" t="s">
        <v>205</v>
      </c>
    </row>
  </sheetData>
  <mergeCells count="5">
    <mergeCell ref="A2:I2"/>
    <mergeCell ref="A10:I10"/>
    <mergeCell ref="A6:I6"/>
    <mergeCell ref="A21:I21"/>
    <mergeCell ref="A16:I1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6"/>
  <sheetViews>
    <sheetView workbookViewId="0"/>
  </sheetViews>
  <sheetFormatPr defaultRowHeight="14.5" x14ac:dyDescent="0.35"/>
  <cols>
    <col min="1" max="1" width="35" customWidth="1"/>
    <col min="2" max="2" width="12" customWidth="1"/>
    <col min="3" max="3" width="15" customWidth="1"/>
    <col min="4" max="4" width="12" customWidth="1"/>
    <col min="5" max="5" width="15" customWidth="1"/>
    <col min="6" max="7" width="10" customWidth="1"/>
    <col min="8" max="8" width="50" customWidth="1"/>
    <col min="9" max="9" width="3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826</v>
      </c>
      <c r="B2" s="3"/>
      <c r="C2" s="3"/>
      <c r="D2" s="3"/>
      <c r="E2" s="3"/>
      <c r="F2" s="3"/>
      <c r="G2" s="3"/>
      <c r="H2" s="3"/>
      <c r="I2" s="3"/>
    </row>
    <row r="3" spans="1:9" x14ac:dyDescent="0.35">
      <c r="A3" t="s">
        <v>827</v>
      </c>
      <c r="B3" t="s">
        <v>828</v>
      </c>
      <c r="C3" t="s">
        <v>829</v>
      </c>
      <c r="D3" t="s">
        <v>51</v>
      </c>
      <c r="E3" t="s">
        <v>829</v>
      </c>
      <c r="F3" t="s">
        <v>51</v>
      </c>
      <c r="G3" t="s">
        <v>51</v>
      </c>
      <c r="H3" t="s">
        <v>830</v>
      </c>
      <c r="I3" t="s">
        <v>831</v>
      </c>
    </row>
    <row r="4" spans="1:9" x14ac:dyDescent="0.35">
      <c r="A4" t="s">
        <v>832</v>
      </c>
      <c r="B4" t="s">
        <v>833</v>
      </c>
      <c r="C4" t="s">
        <v>834</v>
      </c>
      <c r="D4" t="s">
        <v>51</v>
      </c>
      <c r="E4" t="s">
        <v>834</v>
      </c>
      <c r="F4" t="s">
        <v>51</v>
      </c>
      <c r="G4" t="s">
        <v>51</v>
      </c>
      <c r="H4" t="s">
        <v>835</v>
      </c>
      <c r="I4" t="s">
        <v>831</v>
      </c>
    </row>
    <row r="5" spans="1:9" x14ac:dyDescent="0.35">
      <c r="A5" t="s">
        <v>836</v>
      </c>
      <c r="B5" t="s">
        <v>837</v>
      </c>
      <c r="C5" t="s">
        <v>838</v>
      </c>
      <c r="D5" t="s">
        <v>51</v>
      </c>
      <c r="E5" t="s">
        <v>838</v>
      </c>
      <c r="F5" t="s">
        <v>51</v>
      </c>
      <c r="G5" t="s">
        <v>51</v>
      </c>
      <c r="H5" t="s">
        <v>839</v>
      </c>
      <c r="I5" t="s">
        <v>831</v>
      </c>
    </row>
    <row r="6" spans="1:9" x14ac:dyDescent="0.35">
      <c r="A6" t="s">
        <v>840</v>
      </c>
      <c r="B6" t="s">
        <v>841</v>
      </c>
      <c r="C6" t="s">
        <v>842</v>
      </c>
      <c r="D6" t="s">
        <v>51</v>
      </c>
      <c r="E6" t="s">
        <v>842</v>
      </c>
      <c r="F6" t="s">
        <v>51</v>
      </c>
      <c r="G6" t="s">
        <v>51</v>
      </c>
      <c r="H6" t="s">
        <v>839</v>
      </c>
      <c r="I6" t="s">
        <v>831</v>
      </c>
    </row>
    <row r="7" spans="1:9" x14ac:dyDescent="0.35">
      <c r="A7" t="s">
        <v>843</v>
      </c>
      <c r="B7" t="s">
        <v>844</v>
      </c>
      <c r="C7" t="s">
        <v>845</v>
      </c>
      <c r="D7" t="s">
        <v>51</v>
      </c>
      <c r="E7" t="s">
        <v>845</v>
      </c>
      <c r="F7" t="s">
        <v>51</v>
      </c>
      <c r="G7" t="s">
        <v>51</v>
      </c>
      <c r="H7" t="s">
        <v>839</v>
      </c>
      <c r="I7" t="s">
        <v>831</v>
      </c>
    </row>
    <row r="8" spans="1:9" x14ac:dyDescent="0.35">
      <c r="A8" t="s">
        <v>846</v>
      </c>
      <c r="B8" t="s">
        <v>847</v>
      </c>
      <c r="C8" t="s">
        <v>848</v>
      </c>
      <c r="D8" t="s">
        <v>51</v>
      </c>
      <c r="E8" t="s">
        <v>848</v>
      </c>
      <c r="F8" t="s">
        <v>51</v>
      </c>
      <c r="G8" t="s">
        <v>51</v>
      </c>
      <c r="H8" t="s">
        <v>839</v>
      </c>
      <c r="I8" t="s">
        <v>831</v>
      </c>
    </row>
    <row r="10" spans="1:9" x14ac:dyDescent="0.35">
      <c r="A10" s="2" t="s">
        <v>849</v>
      </c>
      <c r="B10" s="3"/>
      <c r="C10" s="3"/>
      <c r="D10" s="3"/>
      <c r="E10" s="3"/>
      <c r="F10" s="3"/>
      <c r="G10" s="3"/>
      <c r="H10" s="3"/>
      <c r="I10" s="3"/>
    </row>
    <row r="11" spans="1:9" x14ac:dyDescent="0.35">
      <c r="A11" t="s">
        <v>850</v>
      </c>
      <c r="B11" t="s">
        <v>851</v>
      </c>
      <c r="C11" t="s">
        <v>852</v>
      </c>
      <c r="D11" t="s">
        <v>51</v>
      </c>
      <c r="E11" t="s">
        <v>852</v>
      </c>
      <c r="F11" t="s">
        <v>51</v>
      </c>
      <c r="G11" t="s">
        <v>51</v>
      </c>
      <c r="H11" t="s">
        <v>853</v>
      </c>
      <c r="I11" t="s">
        <v>854</v>
      </c>
    </row>
    <row r="12" spans="1:9" x14ac:dyDescent="0.35">
      <c r="A12" t="s">
        <v>855</v>
      </c>
      <c r="B12" t="s">
        <v>856</v>
      </c>
      <c r="C12" t="s">
        <v>857</v>
      </c>
      <c r="D12" t="s">
        <v>51</v>
      </c>
      <c r="E12" t="s">
        <v>857</v>
      </c>
      <c r="F12" t="s">
        <v>51</v>
      </c>
      <c r="G12" t="s">
        <v>51</v>
      </c>
      <c r="H12" t="s">
        <v>858</v>
      </c>
      <c r="I12" t="s">
        <v>854</v>
      </c>
    </row>
    <row r="13" spans="1:9" x14ac:dyDescent="0.35">
      <c r="A13" t="s">
        <v>859</v>
      </c>
      <c r="B13" t="s">
        <v>860</v>
      </c>
      <c r="C13">
        <v>25</v>
      </c>
      <c r="D13" t="s">
        <v>861</v>
      </c>
      <c r="E13">
        <v>25</v>
      </c>
      <c r="F13">
        <v>-20</v>
      </c>
      <c r="G13">
        <v>60</v>
      </c>
      <c r="H13" t="s">
        <v>862</v>
      </c>
      <c r="I13" t="s">
        <v>863</v>
      </c>
    </row>
    <row r="14" spans="1:9" x14ac:dyDescent="0.35">
      <c r="A14" t="s">
        <v>864</v>
      </c>
      <c r="B14" t="s">
        <v>865</v>
      </c>
      <c r="C14">
        <v>25</v>
      </c>
      <c r="D14" t="s">
        <v>861</v>
      </c>
      <c r="E14">
        <v>25</v>
      </c>
      <c r="F14">
        <v>10</v>
      </c>
      <c r="G14">
        <v>40</v>
      </c>
      <c r="H14" t="s">
        <v>866</v>
      </c>
      <c r="I14" t="s">
        <v>863</v>
      </c>
    </row>
    <row r="15" spans="1:9" x14ac:dyDescent="0.35">
      <c r="A15" t="s">
        <v>867</v>
      </c>
      <c r="B15" t="s">
        <v>868</v>
      </c>
      <c r="C15">
        <v>25</v>
      </c>
      <c r="D15" t="s">
        <v>869</v>
      </c>
      <c r="E15">
        <v>25</v>
      </c>
      <c r="F15">
        <v>5</v>
      </c>
      <c r="G15">
        <v>100</v>
      </c>
      <c r="H15" t="s">
        <v>870</v>
      </c>
      <c r="I15" t="s">
        <v>863</v>
      </c>
    </row>
    <row r="16" spans="1:9" x14ac:dyDescent="0.35">
      <c r="A16" t="s">
        <v>871</v>
      </c>
      <c r="B16" t="s">
        <v>872</v>
      </c>
      <c r="C16">
        <v>500</v>
      </c>
      <c r="D16" t="s">
        <v>869</v>
      </c>
      <c r="E16">
        <v>500</v>
      </c>
      <c r="F16">
        <v>100</v>
      </c>
      <c r="G16">
        <v>2000</v>
      </c>
      <c r="H16" t="s">
        <v>873</v>
      </c>
      <c r="I16" t="s">
        <v>863</v>
      </c>
    </row>
    <row r="18" spans="1:9" x14ac:dyDescent="0.35">
      <c r="A18" s="2" t="s">
        <v>874</v>
      </c>
      <c r="B18" s="3"/>
      <c r="C18" s="3"/>
      <c r="D18" s="3"/>
      <c r="E18" s="3"/>
      <c r="F18" s="3"/>
      <c r="G18" s="3"/>
      <c r="H18" s="3"/>
      <c r="I18" s="3"/>
    </row>
    <row r="19" spans="1:9" x14ac:dyDescent="0.35">
      <c r="A19" t="s">
        <v>875</v>
      </c>
      <c r="B19" t="s">
        <v>876</v>
      </c>
      <c r="C19" t="s">
        <v>877</v>
      </c>
      <c r="D19" t="s">
        <v>51</v>
      </c>
      <c r="E19" t="s">
        <v>877</v>
      </c>
      <c r="F19" t="s">
        <v>51</v>
      </c>
      <c r="G19" t="s">
        <v>51</v>
      </c>
      <c r="H19" t="s">
        <v>878</v>
      </c>
      <c r="I19" t="s">
        <v>831</v>
      </c>
    </row>
    <row r="20" spans="1:9" x14ac:dyDescent="0.35">
      <c r="A20" t="s">
        <v>879</v>
      </c>
      <c r="B20" t="s">
        <v>880</v>
      </c>
      <c r="C20" t="s">
        <v>881</v>
      </c>
      <c r="D20" t="s">
        <v>51</v>
      </c>
      <c r="E20" t="s">
        <v>881</v>
      </c>
      <c r="F20" t="s">
        <v>51</v>
      </c>
      <c r="G20" t="s">
        <v>51</v>
      </c>
      <c r="H20" t="s">
        <v>882</v>
      </c>
      <c r="I20" t="s">
        <v>831</v>
      </c>
    </row>
    <row r="21" spans="1:9" x14ac:dyDescent="0.35">
      <c r="A21" t="s">
        <v>883</v>
      </c>
      <c r="B21" t="s">
        <v>884</v>
      </c>
      <c r="C21" t="s">
        <v>885</v>
      </c>
      <c r="D21" t="s">
        <v>51</v>
      </c>
      <c r="E21" t="s">
        <v>885</v>
      </c>
      <c r="F21" t="s">
        <v>51</v>
      </c>
      <c r="G21" t="s">
        <v>51</v>
      </c>
      <c r="H21" t="s">
        <v>882</v>
      </c>
      <c r="I21" t="s">
        <v>831</v>
      </c>
    </row>
    <row r="22" spans="1:9" x14ac:dyDescent="0.35">
      <c r="A22" t="s">
        <v>886</v>
      </c>
      <c r="B22" t="s">
        <v>887</v>
      </c>
      <c r="C22" t="s">
        <v>888</v>
      </c>
      <c r="D22" t="s">
        <v>51</v>
      </c>
      <c r="E22" t="s">
        <v>888</v>
      </c>
      <c r="F22" t="s">
        <v>51</v>
      </c>
      <c r="G22" t="s">
        <v>51</v>
      </c>
      <c r="H22" t="s">
        <v>889</v>
      </c>
      <c r="I22" t="s">
        <v>831</v>
      </c>
    </row>
    <row r="23" spans="1:9" x14ac:dyDescent="0.35">
      <c r="A23" t="s">
        <v>890</v>
      </c>
      <c r="B23" t="s">
        <v>891</v>
      </c>
      <c r="C23" t="s">
        <v>892</v>
      </c>
      <c r="D23" t="s">
        <v>51</v>
      </c>
      <c r="E23" t="s">
        <v>892</v>
      </c>
      <c r="F23" t="s">
        <v>51</v>
      </c>
      <c r="G23" t="s">
        <v>51</v>
      </c>
      <c r="H23" t="s">
        <v>889</v>
      </c>
      <c r="I23" t="s">
        <v>831</v>
      </c>
    </row>
    <row r="25" spans="1:9" x14ac:dyDescent="0.35">
      <c r="A25" s="2" t="s">
        <v>893</v>
      </c>
      <c r="B25" s="3"/>
      <c r="C25" s="3"/>
      <c r="D25" s="3"/>
      <c r="E25" s="3"/>
      <c r="F25" s="3"/>
      <c r="G25" s="3"/>
      <c r="H25" s="3"/>
      <c r="I25" s="3"/>
    </row>
    <row r="26" spans="1:9" x14ac:dyDescent="0.35">
      <c r="A26" t="s">
        <v>894</v>
      </c>
      <c r="B26" t="s">
        <v>895</v>
      </c>
      <c r="C26" t="s">
        <v>896</v>
      </c>
      <c r="D26" t="s">
        <v>51</v>
      </c>
      <c r="E26" t="s">
        <v>896</v>
      </c>
      <c r="F26" t="s">
        <v>51</v>
      </c>
      <c r="G26" t="s">
        <v>51</v>
      </c>
      <c r="H26" t="s">
        <v>897</v>
      </c>
      <c r="I26" t="s">
        <v>831</v>
      </c>
    </row>
    <row r="27" spans="1:9" x14ac:dyDescent="0.35">
      <c r="A27" t="s">
        <v>898</v>
      </c>
      <c r="B27" t="s">
        <v>899</v>
      </c>
      <c r="C27" t="s">
        <v>900</v>
      </c>
      <c r="D27" t="s">
        <v>51</v>
      </c>
      <c r="E27" t="s">
        <v>900</v>
      </c>
      <c r="F27" t="s">
        <v>51</v>
      </c>
      <c r="G27" t="s">
        <v>51</v>
      </c>
      <c r="H27" t="s">
        <v>901</v>
      </c>
      <c r="I27" t="s">
        <v>831</v>
      </c>
    </row>
    <row r="28" spans="1:9" x14ac:dyDescent="0.35">
      <c r="A28" t="s">
        <v>902</v>
      </c>
      <c r="B28" t="s">
        <v>903</v>
      </c>
      <c r="C28" t="s">
        <v>904</v>
      </c>
      <c r="D28" t="s">
        <v>51</v>
      </c>
      <c r="E28" t="s">
        <v>904</v>
      </c>
      <c r="F28" t="s">
        <v>51</v>
      </c>
      <c r="G28" t="s">
        <v>51</v>
      </c>
      <c r="H28" t="s">
        <v>905</v>
      </c>
      <c r="I28" t="s">
        <v>831</v>
      </c>
    </row>
    <row r="29" spans="1:9" x14ac:dyDescent="0.35">
      <c r="A29" t="s">
        <v>820</v>
      </c>
      <c r="B29" t="s">
        <v>906</v>
      </c>
      <c r="C29" t="s">
        <v>907</v>
      </c>
      <c r="D29" t="s">
        <v>51</v>
      </c>
      <c r="E29" t="s">
        <v>907</v>
      </c>
      <c r="F29" t="s">
        <v>51</v>
      </c>
      <c r="G29" t="s">
        <v>51</v>
      </c>
      <c r="H29" t="s">
        <v>908</v>
      </c>
      <c r="I29" t="s">
        <v>831</v>
      </c>
    </row>
    <row r="30" spans="1:9" x14ac:dyDescent="0.35">
      <c r="A30" t="s">
        <v>909</v>
      </c>
      <c r="B30" t="s">
        <v>910</v>
      </c>
      <c r="C30">
        <v>1E-4</v>
      </c>
      <c r="D30" t="s">
        <v>911</v>
      </c>
      <c r="E30">
        <v>1E-4</v>
      </c>
      <c r="F30">
        <v>1.0000000000000001E-5</v>
      </c>
      <c r="G30">
        <v>1E-3</v>
      </c>
      <c r="H30" t="s">
        <v>912</v>
      </c>
      <c r="I30" t="s">
        <v>205</v>
      </c>
    </row>
    <row r="32" spans="1:9" x14ac:dyDescent="0.35">
      <c r="A32" s="2" t="s">
        <v>913</v>
      </c>
      <c r="B32" s="3"/>
      <c r="C32" s="3"/>
      <c r="D32" s="3"/>
      <c r="E32" s="3"/>
      <c r="F32" s="3"/>
      <c r="G32" s="3"/>
      <c r="H32" s="3"/>
      <c r="I32" s="3"/>
    </row>
    <row r="33" spans="1:9" x14ac:dyDescent="0.35">
      <c r="A33" t="s">
        <v>914</v>
      </c>
      <c r="B33" t="s">
        <v>915</v>
      </c>
      <c r="C33" t="s">
        <v>916</v>
      </c>
      <c r="D33" t="s">
        <v>51</v>
      </c>
      <c r="E33" t="s">
        <v>916</v>
      </c>
      <c r="F33" t="s">
        <v>51</v>
      </c>
      <c r="G33" t="s">
        <v>51</v>
      </c>
      <c r="H33" t="s">
        <v>917</v>
      </c>
      <c r="I33" t="s">
        <v>854</v>
      </c>
    </row>
    <row r="34" spans="1:9" x14ac:dyDescent="0.35">
      <c r="A34" t="s">
        <v>918</v>
      </c>
      <c r="B34" t="s">
        <v>919</v>
      </c>
      <c r="C34" t="s">
        <v>920</v>
      </c>
      <c r="D34" t="s">
        <v>51</v>
      </c>
      <c r="E34" t="s">
        <v>920</v>
      </c>
      <c r="F34" t="s">
        <v>51</v>
      </c>
      <c r="G34" t="s">
        <v>51</v>
      </c>
      <c r="H34" t="s">
        <v>921</v>
      </c>
      <c r="I34" t="s">
        <v>186</v>
      </c>
    </row>
    <row r="35" spans="1:9" x14ac:dyDescent="0.35">
      <c r="A35" t="s">
        <v>922</v>
      </c>
      <c r="B35" t="s">
        <v>923</v>
      </c>
      <c r="C35">
        <v>120</v>
      </c>
      <c r="D35" t="s">
        <v>924</v>
      </c>
      <c r="E35">
        <v>120</v>
      </c>
      <c r="F35">
        <v>1</v>
      </c>
      <c r="G35">
        <v>500</v>
      </c>
      <c r="H35" t="s">
        <v>925</v>
      </c>
      <c r="I35" t="s">
        <v>926</v>
      </c>
    </row>
    <row r="36" spans="1:9" x14ac:dyDescent="0.35">
      <c r="A36" t="s">
        <v>927</v>
      </c>
      <c r="B36" t="s">
        <v>928</v>
      </c>
      <c r="C36">
        <v>360</v>
      </c>
      <c r="D36" t="s">
        <v>924</v>
      </c>
      <c r="E36">
        <v>360</v>
      </c>
      <c r="F36" t="s">
        <v>51</v>
      </c>
      <c r="G36" t="s">
        <v>51</v>
      </c>
      <c r="H36" t="s">
        <v>929</v>
      </c>
      <c r="I36" t="s">
        <v>926</v>
      </c>
    </row>
  </sheetData>
  <mergeCells count="5">
    <mergeCell ref="A25:I25"/>
    <mergeCell ref="A2:I2"/>
    <mergeCell ref="A10:I10"/>
    <mergeCell ref="A32:I32"/>
    <mergeCell ref="A18:I1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1"/>
  <sheetViews>
    <sheetView workbookViewId="0"/>
  </sheetViews>
  <sheetFormatPr defaultRowHeight="14.5" x14ac:dyDescent="0.35"/>
  <cols>
    <col min="1" max="1" width="25" customWidth="1"/>
    <col min="2" max="2" width="35" customWidth="1"/>
    <col min="3" max="3" width="20" customWidth="1"/>
    <col min="4" max="4" width="15" customWidth="1"/>
    <col min="5" max="5" width="40" customWidth="1"/>
  </cols>
  <sheetData>
    <row r="1" spans="1:5" x14ac:dyDescent="0.35">
      <c r="A1" s="1" t="s">
        <v>930</v>
      </c>
      <c r="B1" s="1" t="s">
        <v>0</v>
      </c>
      <c r="C1" s="1" t="s">
        <v>931</v>
      </c>
      <c r="D1" s="1" t="s">
        <v>3</v>
      </c>
      <c r="E1" s="1" t="s">
        <v>932</v>
      </c>
    </row>
    <row r="2" spans="1:5" x14ac:dyDescent="0.35">
      <c r="A2" t="s">
        <v>933</v>
      </c>
      <c r="B2" t="s">
        <v>934</v>
      </c>
      <c r="C2" t="s">
        <v>935</v>
      </c>
      <c r="D2" t="s">
        <v>12</v>
      </c>
      <c r="E2" t="s">
        <v>14</v>
      </c>
    </row>
    <row r="3" spans="1:5" x14ac:dyDescent="0.35">
      <c r="A3" t="s">
        <v>933</v>
      </c>
      <c r="B3" t="s">
        <v>48</v>
      </c>
      <c r="C3" t="s">
        <v>50</v>
      </c>
      <c r="D3" t="s">
        <v>51</v>
      </c>
      <c r="E3" t="s">
        <v>186</v>
      </c>
    </row>
    <row r="4" spans="1:5" x14ac:dyDescent="0.35">
      <c r="A4" t="s">
        <v>933</v>
      </c>
      <c r="B4" t="s">
        <v>21</v>
      </c>
      <c r="C4" t="s">
        <v>936</v>
      </c>
      <c r="D4" t="s">
        <v>12</v>
      </c>
      <c r="E4" t="s">
        <v>937</v>
      </c>
    </row>
    <row r="6" spans="1:5" x14ac:dyDescent="0.35">
      <c r="A6" t="s">
        <v>938</v>
      </c>
      <c r="B6" t="s">
        <v>939</v>
      </c>
      <c r="C6" t="s">
        <v>940</v>
      </c>
      <c r="D6" t="s">
        <v>51</v>
      </c>
      <c r="E6" t="s">
        <v>941</v>
      </c>
    </row>
    <row r="7" spans="1:5" x14ac:dyDescent="0.35">
      <c r="A7" t="s">
        <v>938</v>
      </c>
      <c r="B7" t="s">
        <v>942</v>
      </c>
      <c r="C7" t="s">
        <v>943</v>
      </c>
      <c r="D7" t="s">
        <v>12</v>
      </c>
      <c r="E7" t="s">
        <v>944</v>
      </c>
    </row>
    <row r="8" spans="1:5" x14ac:dyDescent="0.35">
      <c r="A8" t="s">
        <v>938</v>
      </c>
      <c r="B8" t="s">
        <v>945</v>
      </c>
      <c r="C8" t="s">
        <v>946</v>
      </c>
      <c r="D8" t="s">
        <v>12</v>
      </c>
      <c r="E8" t="s">
        <v>947</v>
      </c>
    </row>
    <row r="10" spans="1:5" x14ac:dyDescent="0.35">
      <c r="A10" t="s">
        <v>948</v>
      </c>
      <c r="B10" t="s">
        <v>949</v>
      </c>
      <c r="C10" t="s">
        <v>950</v>
      </c>
      <c r="D10" t="s">
        <v>51</v>
      </c>
      <c r="E10" t="s">
        <v>951</v>
      </c>
    </row>
    <row r="11" spans="1:5" x14ac:dyDescent="0.35">
      <c r="A11" t="s">
        <v>948</v>
      </c>
      <c r="B11" t="s">
        <v>952</v>
      </c>
      <c r="C11" t="s">
        <v>953</v>
      </c>
      <c r="D11" t="s">
        <v>12</v>
      </c>
      <c r="E11" t="s">
        <v>944</v>
      </c>
    </row>
    <row r="12" spans="1:5" x14ac:dyDescent="0.35">
      <c r="A12" t="s">
        <v>948</v>
      </c>
      <c r="B12" t="s">
        <v>954</v>
      </c>
      <c r="C12" t="s">
        <v>955</v>
      </c>
      <c r="D12" t="s">
        <v>161</v>
      </c>
      <c r="E12" t="s">
        <v>956</v>
      </c>
    </row>
    <row r="13" spans="1:5" x14ac:dyDescent="0.35">
      <c r="A13" t="s">
        <v>948</v>
      </c>
      <c r="B13" t="s">
        <v>957</v>
      </c>
      <c r="C13" t="s">
        <v>958</v>
      </c>
      <c r="D13" t="s">
        <v>51</v>
      </c>
      <c r="E13" t="s">
        <v>959</v>
      </c>
    </row>
    <row r="15" spans="1:5" x14ac:dyDescent="0.35">
      <c r="A15" t="s">
        <v>960</v>
      </c>
      <c r="B15" t="s">
        <v>949</v>
      </c>
      <c r="C15" t="s">
        <v>961</v>
      </c>
      <c r="D15" t="s">
        <v>51</v>
      </c>
      <c r="E15" t="s">
        <v>962</v>
      </c>
    </row>
    <row r="16" spans="1:5" x14ac:dyDescent="0.35">
      <c r="A16" t="s">
        <v>960</v>
      </c>
      <c r="B16" t="s">
        <v>952</v>
      </c>
      <c r="C16" t="s">
        <v>963</v>
      </c>
      <c r="D16" t="s">
        <v>12</v>
      </c>
      <c r="E16" t="s">
        <v>964</v>
      </c>
    </row>
    <row r="17" spans="1:5" x14ac:dyDescent="0.35">
      <c r="A17" t="s">
        <v>960</v>
      </c>
      <c r="B17" t="s">
        <v>954</v>
      </c>
      <c r="C17" t="s">
        <v>965</v>
      </c>
      <c r="D17" t="s">
        <v>161</v>
      </c>
      <c r="E17" t="s">
        <v>956</v>
      </c>
    </row>
    <row r="18" spans="1:5" x14ac:dyDescent="0.35">
      <c r="A18" t="s">
        <v>960</v>
      </c>
      <c r="B18" t="s">
        <v>957</v>
      </c>
      <c r="C18" t="s">
        <v>966</v>
      </c>
      <c r="D18" t="s">
        <v>51</v>
      </c>
      <c r="E18" t="s">
        <v>967</v>
      </c>
    </row>
    <row r="20" spans="1:5" x14ac:dyDescent="0.35">
      <c r="A20" t="s">
        <v>968</v>
      </c>
      <c r="B20" t="s">
        <v>457</v>
      </c>
      <c r="C20" t="s">
        <v>969</v>
      </c>
      <c r="D20" t="s">
        <v>51</v>
      </c>
      <c r="E20" t="s">
        <v>970</v>
      </c>
    </row>
    <row r="21" spans="1:5" x14ac:dyDescent="0.35">
      <c r="A21" t="s">
        <v>968</v>
      </c>
      <c r="B21" t="s">
        <v>598</v>
      </c>
      <c r="C21" t="s">
        <v>971</v>
      </c>
      <c r="D21" t="s">
        <v>165</v>
      </c>
      <c r="E21" t="s">
        <v>972</v>
      </c>
    </row>
    <row r="22" spans="1:5" x14ac:dyDescent="0.35">
      <c r="A22" t="s">
        <v>968</v>
      </c>
      <c r="B22" t="s">
        <v>973</v>
      </c>
      <c r="C22" t="s">
        <v>974</v>
      </c>
      <c r="D22" t="s">
        <v>132</v>
      </c>
      <c r="E22" t="s">
        <v>975</v>
      </c>
    </row>
    <row r="24" spans="1:5" x14ac:dyDescent="0.35">
      <c r="A24" t="s">
        <v>976</v>
      </c>
      <c r="B24" t="s">
        <v>364</v>
      </c>
      <c r="C24" t="s">
        <v>977</v>
      </c>
      <c r="D24" t="s">
        <v>51</v>
      </c>
      <c r="E24" t="s">
        <v>186</v>
      </c>
    </row>
    <row r="25" spans="1:5" x14ac:dyDescent="0.35">
      <c r="A25" t="s">
        <v>976</v>
      </c>
      <c r="B25" t="s">
        <v>419</v>
      </c>
      <c r="C25" t="s">
        <v>978</v>
      </c>
      <c r="D25" t="s">
        <v>56</v>
      </c>
      <c r="E25" t="s">
        <v>429</v>
      </c>
    </row>
    <row r="26" spans="1:5" x14ac:dyDescent="0.35">
      <c r="A26" t="s">
        <v>976</v>
      </c>
      <c r="B26" t="s">
        <v>979</v>
      </c>
      <c r="C26" t="s">
        <v>980</v>
      </c>
      <c r="D26" t="s">
        <v>72</v>
      </c>
      <c r="E26" t="s">
        <v>981</v>
      </c>
    </row>
    <row r="28" spans="1:5" x14ac:dyDescent="0.35">
      <c r="A28" t="s">
        <v>982</v>
      </c>
      <c r="B28" t="s">
        <v>457</v>
      </c>
      <c r="C28" t="s">
        <v>459</v>
      </c>
      <c r="D28" t="s">
        <v>51</v>
      </c>
      <c r="E28" t="s">
        <v>983</v>
      </c>
    </row>
    <row r="29" spans="1:5" x14ac:dyDescent="0.35">
      <c r="A29" t="s">
        <v>982</v>
      </c>
      <c r="B29" t="s">
        <v>461</v>
      </c>
      <c r="C29" t="s">
        <v>984</v>
      </c>
      <c r="D29" t="s">
        <v>12</v>
      </c>
      <c r="E29" t="s">
        <v>985</v>
      </c>
    </row>
    <row r="30" spans="1:5" x14ac:dyDescent="0.35">
      <c r="A30" t="s">
        <v>982</v>
      </c>
      <c r="B30" t="s">
        <v>986</v>
      </c>
      <c r="C30" t="s">
        <v>987</v>
      </c>
      <c r="D30" t="s">
        <v>988</v>
      </c>
      <c r="E30" t="s">
        <v>989</v>
      </c>
    </row>
    <row r="32" spans="1:5" x14ac:dyDescent="0.35">
      <c r="A32" t="s">
        <v>990</v>
      </c>
      <c r="B32" t="s">
        <v>991</v>
      </c>
      <c r="C32" t="s">
        <v>992</v>
      </c>
      <c r="D32" t="s">
        <v>665</v>
      </c>
      <c r="E32" t="s">
        <v>975</v>
      </c>
    </row>
    <row r="33" spans="1:5" x14ac:dyDescent="0.35">
      <c r="A33" t="s">
        <v>990</v>
      </c>
      <c r="B33" t="s">
        <v>993</v>
      </c>
      <c r="C33" t="s">
        <v>994</v>
      </c>
      <c r="D33" t="s">
        <v>665</v>
      </c>
      <c r="E33" t="s">
        <v>975</v>
      </c>
    </row>
    <row r="34" spans="1:5" x14ac:dyDescent="0.35">
      <c r="A34" t="s">
        <v>990</v>
      </c>
      <c r="B34" t="s">
        <v>995</v>
      </c>
      <c r="C34" t="s">
        <v>996</v>
      </c>
      <c r="D34" t="s">
        <v>672</v>
      </c>
      <c r="E34" t="s">
        <v>975</v>
      </c>
    </row>
    <row r="36" spans="1:5" x14ac:dyDescent="0.35">
      <c r="A36" t="s">
        <v>997</v>
      </c>
      <c r="B36" t="s">
        <v>998</v>
      </c>
      <c r="C36" t="s">
        <v>999</v>
      </c>
      <c r="D36" t="s">
        <v>716</v>
      </c>
      <c r="E36" t="s">
        <v>975</v>
      </c>
    </row>
    <row r="37" spans="1:5" x14ac:dyDescent="0.35">
      <c r="A37" t="s">
        <v>997</v>
      </c>
      <c r="B37" t="s">
        <v>1000</v>
      </c>
      <c r="C37" t="s">
        <v>1001</v>
      </c>
      <c r="D37" t="s">
        <v>716</v>
      </c>
      <c r="E37" t="s">
        <v>1002</v>
      </c>
    </row>
    <row r="39" spans="1:5" x14ac:dyDescent="0.35">
      <c r="A39" t="s">
        <v>1003</v>
      </c>
      <c r="B39" t="s">
        <v>1004</v>
      </c>
      <c r="C39" t="s">
        <v>1005</v>
      </c>
      <c r="D39" t="s">
        <v>782</v>
      </c>
      <c r="E39" t="s">
        <v>1006</v>
      </c>
    </row>
    <row r="40" spans="1:5" x14ac:dyDescent="0.35">
      <c r="A40" t="s">
        <v>1003</v>
      </c>
      <c r="B40" t="s">
        <v>1007</v>
      </c>
      <c r="C40" t="s">
        <v>1008</v>
      </c>
      <c r="D40" t="s">
        <v>782</v>
      </c>
      <c r="E40" t="s">
        <v>1006</v>
      </c>
    </row>
    <row r="41" spans="1:5" x14ac:dyDescent="0.35">
      <c r="A41" t="s">
        <v>1003</v>
      </c>
      <c r="B41" t="s">
        <v>1009</v>
      </c>
      <c r="C41" t="s">
        <v>1010</v>
      </c>
      <c r="D41" t="s">
        <v>782</v>
      </c>
      <c r="E41" t="s">
        <v>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1_Cell_Envelope</vt:lpstr>
      <vt:lpstr>2_Stack_Config</vt:lpstr>
      <vt:lpstr>3_Cathode</vt:lpstr>
      <vt:lpstr>4_Anode</vt:lpstr>
      <vt:lpstr>5_Separator</vt:lpstr>
      <vt:lpstr>6_Electrolyte</vt:lpstr>
      <vt:lpstr>7_Terminals</vt:lpstr>
      <vt:lpstr>8_Tabs_Busbars</vt:lpstr>
      <vt:lpstr>9_Insulation</vt:lpstr>
      <vt:lpstr>10_Thermal_Props</vt:lpstr>
      <vt:lpstr>11_Mechanical_Props</vt:lpstr>
      <vt:lpstr>12_Electrical_Props</vt:lpstr>
      <vt:lpstr>13_Simulation_Zones</vt:lpstr>
      <vt:lpstr>14_Defaults_Summary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Leu</cp:lastModifiedBy>
  <dcterms:created xsi:type="dcterms:W3CDTF">2025-12-12T21:18:05Z</dcterms:created>
  <dcterms:modified xsi:type="dcterms:W3CDTF">2025-12-25T18:00:48Z</dcterms:modified>
</cp:coreProperties>
</file>